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oi/Downloads/project/WAS-Working-Capital-Analysis/"/>
    </mc:Choice>
  </mc:AlternateContent>
  <xr:revisionPtr revIDLastSave="0" documentId="13_ncr:1_{B56FB81D-2AB0-124E-8B5D-CC8AC103973A}" xr6:coauthVersionLast="47" xr6:coauthVersionMax="47" xr10:uidLastSave="{00000000-0000-0000-0000-000000000000}"/>
  <bookViews>
    <workbookView xWindow="6560" yWindow="660" windowWidth="31840" windowHeight="20940" xr2:uid="{DD93A683-3E84-A541-A5F8-9698DABDD4EE}"/>
  </bookViews>
  <sheets>
    <sheet name="Assumptions" sheetId="5" r:id="rId1"/>
    <sheet name="CCC_Model" sheetId="3" r:id="rId2"/>
    <sheet name="Scenarios" sheetId="2" r:id="rId3"/>
    <sheet name="Sensitiv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6" i="2" l="1"/>
  <c r="A37" i="2" s="1"/>
  <c r="A38" i="2" s="1"/>
  <c r="A39" i="2" s="1"/>
  <c r="A40" i="2" s="1"/>
  <c r="A41" i="2" s="1"/>
  <c r="A42" i="2" s="1"/>
  <c r="A25" i="2"/>
  <c r="A26" i="2" s="1"/>
  <c r="A27" i="2" s="1"/>
  <c r="A28" i="2" s="1"/>
  <c r="A29" i="2" s="1"/>
  <c r="A30" i="2" s="1"/>
  <c r="A31" i="2" s="1"/>
  <c r="A32" i="2" s="1"/>
  <c r="D9" i="4"/>
  <c r="E9" i="4" s="1"/>
  <c r="F9" i="4" s="1"/>
  <c r="G9" i="4" s="1"/>
  <c r="H9" i="4" s="1"/>
  <c r="I9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L6" i="4"/>
  <c r="L4" i="4"/>
  <c r="L5" i="4" s="1"/>
  <c r="E26" i="2"/>
  <c r="D26" i="2"/>
  <c r="C26" i="2"/>
  <c r="E25" i="2"/>
  <c r="D25" i="2"/>
  <c r="C25" i="2"/>
  <c r="E24" i="2"/>
  <c r="D24" i="2"/>
  <c r="C24" i="2"/>
  <c r="C18" i="2"/>
  <c r="C19" i="2"/>
  <c r="C39" i="2" s="1"/>
  <c r="E12" i="2"/>
  <c r="D12" i="2"/>
  <c r="C12" i="2"/>
  <c r="C32" i="3"/>
  <c r="D31" i="3"/>
  <c r="C31" i="3"/>
  <c r="D18" i="3"/>
  <c r="C18" i="3"/>
  <c r="D17" i="3"/>
  <c r="C17" i="3"/>
  <c r="D16" i="3"/>
  <c r="C16" i="3"/>
  <c r="C11" i="3"/>
  <c r="C9" i="3"/>
  <c r="D9" i="3" s="1"/>
  <c r="D5" i="3"/>
  <c r="C5" i="3"/>
  <c r="C6" i="3" s="1"/>
  <c r="D19" i="3" l="1"/>
  <c r="C19" i="3"/>
  <c r="C16" i="2"/>
  <c r="E16" i="2" s="1"/>
  <c r="E18" i="3"/>
  <c r="E17" i="3"/>
  <c r="D24" i="3"/>
  <c r="D29" i="2"/>
  <c r="E20" i="3"/>
  <c r="E19" i="3"/>
  <c r="F19" i="3" s="1"/>
  <c r="C13" i="2"/>
  <c r="C14" i="2" s="1"/>
  <c r="C15" i="2" s="1"/>
  <c r="C25" i="3"/>
  <c r="C30" i="2" s="1"/>
  <c r="D6" i="3"/>
  <c r="C7" i="3"/>
  <c r="C23" i="3"/>
  <c r="E9" i="3"/>
  <c r="F9" i="3" s="1"/>
  <c r="D16" i="2"/>
  <c r="E16" i="3"/>
  <c r="C24" i="3"/>
  <c r="C29" i="2" s="1"/>
  <c r="E5" i="3"/>
  <c r="F5" i="3" s="1"/>
  <c r="G12" i="2"/>
  <c r="G24" i="2"/>
  <c r="D27" i="2"/>
  <c r="D37" i="2" s="1"/>
  <c r="F25" i="2"/>
  <c r="F26" i="2"/>
  <c r="L7" i="4"/>
  <c r="E18" i="2"/>
  <c r="G26" i="2"/>
  <c r="E29" i="2"/>
  <c r="C27" i="2"/>
  <c r="C37" i="2" s="1"/>
  <c r="F24" i="2"/>
  <c r="G25" i="2"/>
  <c r="F12" i="2"/>
  <c r="E27" i="2"/>
  <c r="C28" i="2" l="1"/>
  <c r="C26" i="3"/>
  <c r="C31" i="2" s="1"/>
  <c r="C38" i="2" s="1"/>
  <c r="C10" i="3"/>
  <c r="C12" i="3" s="1"/>
  <c r="C8" i="3"/>
  <c r="E24" i="3"/>
  <c r="F24" i="3" s="1"/>
  <c r="D7" i="3"/>
  <c r="D25" i="3"/>
  <c r="E6" i="3"/>
  <c r="F6" i="3" s="1"/>
  <c r="D23" i="3"/>
  <c r="D13" i="2"/>
  <c r="C17" i="2"/>
  <c r="C20" i="2" s="1"/>
  <c r="F27" i="2"/>
  <c r="L8" i="4"/>
  <c r="L9" i="4" s="1"/>
  <c r="L10" i="4" s="1"/>
  <c r="B9" i="4" s="1"/>
  <c r="C21" i="2"/>
  <c r="C36" i="2" s="1"/>
  <c r="C35" i="2"/>
  <c r="G27" i="2"/>
  <c r="E37" i="2"/>
  <c r="E19" i="2" l="1"/>
  <c r="E39" i="2" s="1"/>
  <c r="E25" i="3"/>
  <c r="F25" i="3" s="1"/>
  <c r="D30" i="2"/>
  <c r="D8" i="3"/>
  <c r="E8" i="3" s="1"/>
  <c r="E7" i="3"/>
  <c r="F7" i="3" s="1"/>
  <c r="D10" i="3"/>
  <c r="D38" i="3"/>
  <c r="E23" i="3"/>
  <c r="F23" i="3" s="1"/>
  <c r="D26" i="3"/>
  <c r="D28" i="2"/>
  <c r="C13" i="3"/>
  <c r="C37" i="3"/>
  <c r="E13" i="2"/>
  <c r="F13" i="2"/>
  <c r="D14" i="2"/>
  <c r="E15" i="2" l="1"/>
  <c r="G15" i="2" s="1"/>
  <c r="D15" i="2"/>
  <c r="F15" i="2" s="1"/>
  <c r="D17" i="2"/>
  <c r="F14" i="2"/>
  <c r="E30" i="2"/>
  <c r="E28" i="2"/>
  <c r="E14" i="2"/>
  <c r="G13" i="2"/>
  <c r="D41" i="3"/>
  <c r="D42" i="3" s="1"/>
  <c r="D27" i="3"/>
  <c r="D30" i="3" s="1"/>
  <c r="D32" i="3" s="1"/>
  <c r="E26" i="3"/>
  <c r="F26" i="3" s="1"/>
  <c r="D31" i="2"/>
  <c r="F38" i="3"/>
  <c r="E10" i="3"/>
  <c r="F10" i="3" s="1"/>
  <c r="E31" i="2" l="1"/>
  <c r="E38" i="2" s="1"/>
  <c r="E17" i="2"/>
  <c r="E20" i="2" s="1"/>
  <c r="G14" i="2"/>
  <c r="D38" i="2"/>
  <c r="D32" i="2"/>
  <c r="E32" i="3"/>
  <c r="D33" i="3"/>
  <c r="D19" i="2"/>
  <c r="D39" i="2" s="1"/>
  <c r="D11" i="3"/>
  <c r="D39" i="3"/>
  <c r="E32" i="2" l="1"/>
  <c r="G32" i="2" s="1"/>
  <c r="D43" i="3"/>
  <c r="F39" i="3"/>
  <c r="C40" i="3"/>
  <c r="E35" i="2"/>
  <c r="E21" i="2"/>
  <c r="G20" i="2"/>
  <c r="E11" i="3"/>
  <c r="F11" i="3" s="1"/>
  <c r="D12" i="3"/>
  <c r="D20" i="2"/>
  <c r="D35" i="2" l="1"/>
  <c r="D40" i="2" s="1"/>
  <c r="D21" i="2"/>
  <c r="F20" i="2"/>
  <c r="E12" i="3"/>
  <c r="F12" i="3" s="1"/>
  <c r="D13" i="3"/>
  <c r="E13" i="3" s="1"/>
  <c r="D34" i="3"/>
  <c r="G21" i="2"/>
  <c r="E36" i="2"/>
  <c r="E40" i="2"/>
  <c r="G40" i="2" s="1"/>
  <c r="E41" i="2"/>
  <c r="E42" i="2" s="1"/>
  <c r="D36" i="2" l="1"/>
  <c r="F21" i="2"/>
</calcChain>
</file>

<file path=xl/sharedStrings.xml><?xml version="1.0" encoding="utf-8"?>
<sst xmlns="http://schemas.openxmlformats.org/spreadsheetml/2006/main" count="244" uniqueCount="179">
  <si>
    <t>Category</t>
  </si>
  <si>
    <t>Input Name</t>
  </si>
  <si>
    <t>Base Case Value</t>
  </si>
  <si>
    <t>Stress Case Value</t>
  </si>
  <si>
    <t>Unit</t>
  </si>
  <si>
    <t>Source</t>
  </si>
  <si>
    <t>Rationale</t>
  </si>
  <si>
    <t>A. ENTITY PARAMETERS</t>
  </si>
  <si>
    <t>Entity</t>
  </si>
  <si>
    <t>Annual Revenue</t>
  </si>
  <si>
    <t>AUD</t>
  </si>
  <si>
    <t>Mid-tier WA agri-input SME, 5 regional hubs. Revenue held flat in stress — volume reduction assumed offset by higher per-unit pricing. Direction of risk: downward.</t>
  </si>
  <si>
    <t>Gross Margin — Base</t>
  </si>
  <si>
    <t>%</t>
  </si>
  <si>
    <t>B. OPERATING EXPENDITURE</t>
  </si>
  <si>
    <t>Opex</t>
  </si>
  <si>
    <t>Executive / Finance Salaries (3 FTE)</t>
  </si>
  <si>
    <t>Directional: operations manager salary ranges WA ~$105k; senior management premium applied</t>
  </si>
  <si>
    <t>CEO, CFO, Supply Chain Manager. $120,000 per FTE. Regional WA SME senior management.</t>
  </si>
  <si>
    <t>Agronomy / Account Manager Salaries (6 FTE)</t>
  </si>
  <si>
    <t>Indeed AU: avg agronomist salary WA $83,929; ERI SalaryExpert Perth: $107,488</t>
  </si>
  <si>
    <t>Midpoint applied at $95,000 per FTE. Field agronomists and account managers.</t>
  </si>
  <si>
    <t>Operations / Warehouse / Driver Salaries (15 FTE)</t>
  </si>
  <si>
    <t>Indeed AU: warehouse supervisor WA $71,086 (Jan 2026); truck driver WA avg $75-80k (May 2026)</t>
  </si>
  <si>
    <t>Blended rate $75,000 per FTE across hub workers, drivers, warehouse coordinators.</t>
  </si>
  <si>
    <t>Fleet Operating Costs</t>
  </si>
  <si>
    <t>Warehouse Operating Costs</t>
  </si>
  <si>
    <t>5 regional hubs. Utilities, insurance, maintenance, safety compliance. ~$100k per hub per year.</t>
  </si>
  <si>
    <t>Administration / IT / Audit / Legal</t>
  </si>
  <si>
    <t>Standard SME back-office costs. 24-person business without dedicated finance function.</t>
  </si>
  <si>
    <t>Bad Debt Provision</t>
  </si>
  <si>
    <t>Total Operating Expenditure</t>
  </si>
  <si>
    <t>Operating Profit Before Overdraft Interest</t>
  </si>
  <si>
    <t>Net Profit</t>
  </si>
  <si>
    <t>Input Costs</t>
  </si>
  <si>
    <t>Urea Price — Base (2025 annual avg)</t>
  </si>
  <si>
    <t>USD/mt</t>
  </si>
  <si>
    <t>2025 full-year annual average. Base case COGS reflects this price.</t>
  </si>
  <si>
    <t>Urea Price — Spot Stress (April 2026)</t>
  </si>
  <si>
    <t>April 2026 monthly price. Sharp acceleration from Q4 2025.</t>
  </si>
  <si>
    <t>Urea as % of Total COGS</t>
  </si>
  <si>
    <t>Cost Pass-Through Rate to Farmers</t>
  </si>
  <si>
    <t>Cost Absorbed by WAS Ltd</t>
  </si>
  <si>
    <t>Working Capital</t>
  </si>
  <si>
    <t>Days Inventory Outstanding (DIO)</t>
  </si>
  <si>
    <t>Days</t>
  </si>
  <si>
    <t>Days Sales Outstanding (DSO) — Base</t>
  </si>
  <si>
    <t>30-day standard trade terms + 15-day collection lag. 24-person business has no dedicated credit controller. Direction of risk: upward.</t>
  </si>
  <si>
    <t>Days Sales Outstanding (DSO) — Stress</t>
  </si>
  <si>
    <t>Days Payable Outstanding (DPO) — Base</t>
  </si>
  <si>
    <t>Suppliers (Incitec Pivot, Nufarm, Syngenta, Ampol, BP) are large multinationals. SME at $45m revenue has no leverage to extend terms. Supply disruption during seeding = existential risk. Enforces prompt payment. 30-day terms + 2-day processing margin.</t>
  </si>
  <si>
    <t>Days Payable Outstanding (DPO) — Stress</t>
  </si>
  <si>
    <t>Incremental WC Gap (Stress vs Base)</t>
  </si>
  <si>
    <t>Market Rates</t>
  </si>
  <si>
    <t>Overdraft Rate</t>
  </si>
  <si>
    <t>% p.a.</t>
  </si>
  <si>
    <t>Overdraft Interest — Base</t>
  </si>
  <si>
    <t>Bad Debt Provision Rate</t>
  </si>
  <si>
    <t>Perth Wholesale Diesel Price</t>
  </si>
  <si>
    <t>cents/litre</t>
  </si>
  <si>
    <t>Reference rate for diesel inventory carrying cost. Perth lowest of all capitals — consistent with proximity to Kwinana terminal.</t>
  </si>
  <si>
    <t>DAP Fertiliser Price — April 2026</t>
  </si>
  <si>
    <t>Secondary fertiliser reference. Confirms broader fertiliser price pressure beyond urea.</t>
  </si>
  <si>
    <t>Superannuation Guarantee Rate</t>
  </si>
  <si>
    <t>ATO — Key Superannuation Rates and Thresholds FY2025-26. Rate from 1 July 2025. Final legislated increase.</t>
  </si>
  <si>
    <t>ABS Transport Sector Median Weekly Earnings</t>
  </si>
  <si>
    <t>AUD/week</t>
  </si>
  <si>
    <t>Directional support for operations/driver salary assumptions. Annualised: ~$76,440. Consistent with $75,000 applied.</t>
  </si>
  <si>
    <t>ASSUMPTIONS</t>
  </si>
  <si>
    <t>Base case assumes no overdraft draw under normal operating conditions</t>
  </si>
  <si>
    <t>Fixed at $50,000 in both scenarios. Stress scenario models payment delay not default — relationship-dependent customer base assumed to eventually pay. Provision held constant to isolate working capital timing effect as the primary stress driver.</t>
  </si>
  <si>
    <t>WA regional geography: 300–500km freight from Perth port to Esperance and Geraldton creates minimum 2–3 week replenishment lead time. Distributor cannot run lean inventory under these logistics constraints. Pre-seeding fertiliser buildup April–June requires warehouse stock 4–6 weeks prior. DIO held constant across base and stress — supply chain lead time constraint applies equally in both scenarios. DSO deterioration is the primary working capital stress driver.</t>
  </si>
  <si>
    <t>Applied to incremental working capital gap in stress. Base case overdraft draw is zero — see Section C</t>
  </si>
  <si>
    <t>Revenue</t>
  </si>
  <si>
    <t>COGS</t>
  </si>
  <si>
    <t>Gross Profit</t>
  </si>
  <si>
    <t>Gross Margin %</t>
  </si>
  <si>
    <t>Operating Profit Before Overdraft</t>
  </si>
  <si>
    <t>Net Margin %</t>
  </si>
  <si>
    <t>Inventory</t>
  </si>
  <si>
    <t>Receivables</t>
  </si>
  <si>
    <t>Payables</t>
  </si>
  <si>
    <t>Overdraft Interest as % of Base Net Profit</t>
  </si>
  <si>
    <t>Base Net Profit</t>
  </si>
  <si>
    <t>Equals: Stress Net Profit</t>
  </si>
  <si>
    <t>C. INPUT COST PARAMETERS — UREA SHOCK</t>
  </si>
  <si>
    <t>D. WORKING CAPITAL DRIVERS</t>
  </si>
  <si>
    <t>E. COST OF CAPITAL &amp; RATES</t>
  </si>
  <si>
    <t xml:space="preserve">Elders FY2025 Investor Presentation (retail products segment 12.5%); adjusted downward	SME adjustment: no proprietary products, smaller volumes, no backward integration. Advisory services (15% rev, ~35% margin) partially offsets tight product margin.			</t>
  </si>
  <si>
    <t>F. DISCLAIMER</t>
  </si>
  <si>
    <t>Days Sales Outstanding (DSO)</t>
  </si>
  <si>
    <t>Days Payable Outstanding (DPO)</t>
  </si>
  <si>
    <t>Cash Conversion Cycle (CCC)</t>
  </si>
  <si>
    <t>Net Working Capital (NWC)</t>
  </si>
  <si>
    <t>Reference rate only. Used to derive bad debt provision in CCC_Model tab. Held constant in stress — stress scenario models payment delay not default risk.</t>
  </si>
  <si>
    <t>#</t>
  </si>
  <si>
    <t>Line Item</t>
  </si>
  <si>
    <t>Base Case</t>
  </si>
  <si>
    <t>Stress Case</t>
  </si>
  <si>
    <t>Variance ($)</t>
  </si>
  <si>
    <t>Variance (%)</t>
  </si>
  <si>
    <t>Cost of Goods Sold (COGS)</t>
  </si>
  <si>
    <t>Overdraft Interest Cost</t>
  </si>
  <si>
    <t>2. WORKING CAPITAL DRIVERS</t>
  </si>
  <si>
    <t>CCC Deterioration (Stress vs Base)</t>
  </si>
  <si>
    <t>3. WORKING CAPITAL BALANCES</t>
  </si>
  <si>
    <t>Trade Receivables</t>
  </si>
  <si>
    <t>Trade Payables</t>
  </si>
  <si>
    <t>Overdraft Rate (RBA F5, April 2026)</t>
  </si>
  <si>
    <t>Overdraft Interest Cost — Stress</t>
  </si>
  <si>
    <t>Overdraft Cost as % of Total Earnings Swing</t>
  </si>
  <si>
    <t>Less: Gross Margin Compression (Urea Absorption)</t>
  </si>
  <si>
    <t>Less: Overdraft Interest Cost (Stress)</t>
  </si>
  <si>
    <t>Total Earnings Swing (Base to Stress)</t>
  </si>
  <si>
    <t>Margin Compression as % of Total Swing</t>
  </si>
  <si>
    <t>Overdraft Cost as % of Total Swing</t>
  </si>
  <si>
    <t>Recovery Case</t>
  </si>
  <si>
    <t>Variance: Base vs Stress</t>
  </si>
  <si>
    <t>Variance: Base vs Recovery</t>
  </si>
  <si>
    <t>RECOVERY CASE ASSUMPTIONS (HARDCODED INPUTS)</t>
  </si>
  <si>
    <t>DSO Recovery</t>
  </si>
  <si>
    <t>Days — partial improvement via early payment discount offer</t>
  </si>
  <si>
    <t>Early Payment Discount Rate</t>
  </si>
  <si>
    <t>% offered to farmers paying within 14 days</t>
  </si>
  <si>
    <t>Discount Uptake Rate</t>
  </si>
  <si>
    <t>% of receivables accepting the offer</t>
  </si>
  <si>
    <t>DIO Recovery</t>
  </si>
  <si>
    <t>Days — inventory drawdown, reduce pre-seeding stock build</t>
  </si>
  <si>
    <t>DPO Recovery</t>
  </si>
  <si>
    <t>Days — partial extension negotiated with one supplier</t>
  </si>
  <si>
    <t>Early Payment Discount Cost</t>
  </si>
  <si>
    <t>Incremental WC Gap vs Base</t>
  </si>
  <si>
    <t>CCC</t>
  </si>
  <si>
    <t>NWC</t>
  </si>
  <si>
    <t>Earnings vs Base Case</t>
  </si>
  <si>
    <t>Recovery Improvement vs Stress</t>
  </si>
  <si>
    <t>Recovery Improvement as % of Stress Loss</t>
  </si>
  <si>
    <t>SENSITIVITY ANALYSIS — NET PROFIT UNDER VARYING CONDITIONS</t>
  </si>
  <si>
    <t>DSO Input (days)</t>
  </si>
  <si>
    <t>Pass-Through Rate Input</t>
  </si>
  <si>
    <t>Urea Cost Pass-Through Rate to Farmers</t>
  </si>
  <si>
    <t>Master Formula (Net Profit)</t>
  </si>
  <si>
    <t>NET PROFIT ($) — DSO vs UREA PASS-THROUGH RATE</t>
  </si>
  <si>
    <t>SCENARIO ANALYSIS — WHEATBELT AGRONOMY SUPPLIES LTD</t>
  </si>
  <si>
    <t>SECTION 3 - SCENARIO SUMMARY</t>
  </si>
  <si>
    <t>SECTION 2  - WORKING CAPITAL METRICS</t>
  </si>
  <si>
    <t>SECTION 1 - INCOME STATEMENT</t>
  </si>
  <si>
    <t>Analytical assumption. Scaled to represent a mid-tier independent agri-input distributor operating 5 regional hubs across the WA grain belt.</t>
  </si>
  <si>
    <t>Operational estimate. Based on 6 bulk fuel tankers at approximately $65,000 per vehicle per year and 5 forklifts at approximately $5,000 per year, covering fuel, maintenance, registration and insurance.</t>
  </si>
  <si>
    <t>Operational estimate. Covers financial statement audit (mandatory under Corporations Act s.301 given revenue exceeds $25m threshold), accounting software, legal retainer and general administration for a 24-person business.</t>
  </si>
  <si>
    <t>Derived from bad debt provision rate of 0.90% applied to base case receivables. Rate sourced from Nutrien Ltd 2025 Annual Report (international receivables allowance) and Atradius B2B Payment Practices — Australia 2025 (agri-food sector).</t>
  </si>
  <si>
    <t>Operational estimate. Five owned regional warehouse facilities at approximately $100,000 per hub per year, covering utilities, dangerous goods compliance, insurance and maintenance. Facilities owned — no lease cost.</t>
  </si>
  <si>
    <t>Nutrien Ltd 2025 Annual Report — crop nutrients represent 49% of global retail crop input sales by product category. ABARES farm survey data — fertiliser accounts for approximately 13% of total broadacre farm cash costs. Conservative midpoint applied given WAS Ltd product mix.</t>
  </si>
  <si>
    <t>Analytical derivation. WAS Ltd has no proprietary products and faces direct competition from Elders Limited and Nutrien Ag Solutions across all five hub locations. Full pass-through risks customer attrition to competing networks. Partial pass-through is standard for commodity input distributors during price spike periods.</t>
  </si>
  <si>
    <t>Calculated as complement of pass-through rate (1 − 70%). The 30% absorption rate preserves analytical tension between margin compression and working capital stress as concurrent drivers of the liquidity crisis.</t>
  </si>
  <si>
    <t>(1) Freight Lines Group — Perth to Esperance and Geraldton daily freight service, confirming active fertiliser freight corridors (freightlinesgroup.com.au). (2) Kragt, M. — 'Winter crops need to be sown but Australia's farmers are worried about fertilisers and fuel', The Conversation, 2 April 2026 (UWA). (3) DPIRD — Western Australian Crop Sowing Guide 2026.</t>
  </si>
  <si>
    <t>Atradius — B2B Payment Practices Barometer, Australia 2024: average payment terms 35 days, extended by nearly two weeks from prior period. ScaleSuite — Australian SME Finance Operations Benchmark Report 2026: industry-wide debtor days 45–65 days.</t>
  </si>
  <si>
    <t>Atradius — B2B Payment Practices Trends, Australia 2025: Australian agri-food companies specifically flagged for DSO deterioration and growing liquidity challenges from extended payment terms. ABARES farm survey data: fertiliser represents 13% of total broadacre farm cash costs — input price spike directly compresses farmer liquidity.</t>
  </si>
  <si>
    <t>Analytical derivation. Named upstream suppliers (Incitec Pivot Fertilisers, Nufarm Australia, Syngenta, Ampol Australia, BP Wholesale) are large multinationals or ASX-listed corporates. Standard SME trade credit terms enforced at 30 days with no negotiating leverage available to a $45m independent distributor.</t>
  </si>
  <si>
    <t>Analytical derivation. Supplier tightening assumed under credit stress conditions.</t>
  </si>
  <si>
    <t>Suppliers may tighten under credit stress. 2-day reduction immaterial (~$219k cash impact) — included for completeness — not presented as a key stress driver in findings.</t>
  </si>
  <si>
    <t>Reserve Bank of Australia — Indicator Lending Rates, Table F5: small business variable overdraft rate, April 2026: 10.51% per annum.</t>
  </si>
  <si>
    <t>Stated assumption</t>
  </si>
  <si>
    <t>Applied to total salary bill across all 24 FTE. Legislated minimum — no discretion available to employer.</t>
  </si>
  <si>
    <t>Nutrien Ltd 2025 Annual Report — international (Australian) receivables allowance: approximately 0.90% of gross receivables. Atradius — B2B Payment Practices Trends, Australia 2025: agri-food sector bad debt experience consistent with this range.</t>
  </si>
  <si>
    <t>Australian Institute of Petroleum — Terminal Gate Price, Perth, 28 May 2026: 197.1 cents per litre (inclusive of GST). Data prepared by ORIMA Research on behalf of AIP using submissions from BP Australia, Ampol, Viva Energy Australia and ExxonMobil.</t>
  </si>
  <si>
    <t>World Bank Commodities Price Data (Pink Sheet), May 2026 edition. DAP (diammonium phosphate), spot price, f.o.b. US Gulf, April 2026.</t>
  </si>
  <si>
    <t>Australian Bureau of Statistics — Average Weekly Earnings, transport, postal and warehousing sector, August 2025: median weekly earnings $1,470.</t>
  </si>
  <si>
    <t>World Bank Commodities Price Data (Pink Sheet)</t>
  </si>
  <si>
    <t>Wheatbelt Agronomy Supplies Ltd is a fictional entity created for illustrative purposes. All financial inputs are derived from publicly available data sources as cited. Working capital metrics are derived from first-principles operational reasoning and publicly available industry benchmarks; a real engagement would replace these estimates with actual ledger data extracted from the company's accounting system. This analysis does not constitute financial or investment advice.</t>
  </si>
  <si>
    <t>CCC MODEL — WHEATBELT AGRONOMY SUPPLIES LTD</t>
  </si>
  <si>
    <t>1. INCOME STATEMENT SUMMARY</t>
  </si>
  <si>
    <t>5. EARNINGS BRIDGE — BASE TO STRESS</t>
  </si>
  <si>
    <t>4. OVERDRAFT COST ANALYSIS</t>
  </si>
  <si>
    <t>KEY FINDINGS</t>
  </si>
  <si>
    <t>Gross margin compression from urea cost absorption is the dominant stress driver, contributing 81% of the total earnings deterioration. Working capital deterioration from debtor payment extension compounds the position but is secondary — contributing 19% of the swing. The business cannot trade its way out of this crisis through working capital management alone. Pricing recovery is the critical lever.</t>
  </si>
  <si>
    <t>Recovery levers reduce but do not eliminate the stress loss. The three operational actions — early payment discount, inventory drawdown, and supplier term extension — nearly restore working capital efficiency (CCC: 82 days vs base 80 days) but gross margin compression from urea cost absorption remains the dominant unresolved threat. Pricing recovery is required to return the business to profitability.</t>
  </si>
  <si>
    <t>Farmer cash flow squeeze forces payment extension from 30-day toward 60-90 day terms. Relationship dependency prevents aggressive enforcement. 80 days conservative relative to theoretical maximum (harvest income not until Nov-Dec). Note: price acceptance and payment timing represent distinct farmer decisions — producers facing a mandatory pre-seeding input purchase will accept higher prices to secure supply while managing cash flow pressure by extending payment beyond standard terms.</t>
  </si>
  <si>
    <t>Adjust these inputs to test individual scenarios — table updates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</si>
</sst>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0"/>
      <color rgb="FF0F1115"/>
      <name val="Calibri"/>
      <family val="2"/>
    </font>
    <font>
      <sz val="20"/>
      <color rgb="FF0F1115"/>
      <name val="Calibri"/>
      <family val="2"/>
    </font>
    <font>
      <sz val="20"/>
      <color theme="1"/>
      <name val="Calibri"/>
      <family val="2"/>
    </font>
    <font>
      <sz val="20"/>
      <color rgb="FF000000"/>
      <name val="Calibri"/>
      <family val="2"/>
    </font>
    <font>
      <b/>
      <sz val="12"/>
      <color theme="1"/>
      <name val="Calibri"/>
      <family val="2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sz val="15"/>
      <color rgb="FF0F1115"/>
      <name val="Calibri"/>
      <family val="2"/>
    </font>
    <font>
      <sz val="13"/>
      <color rgb="FF0F1115"/>
      <name val="Calibri"/>
      <family val="2"/>
    </font>
    <font>
      <sz val="14"/>
      <color rgb="FF0F1115"/>
      <name val="Calibri"/>
      <family val="2"/>
    </font>
    <font>
      <b/>
      <sz val="14"/>
      <color rgb="FF0F1115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20"/>
      <color theme="0"/>
      <name val="Calibri"/>
      <family val="2"/>
    </font>
    <font>
      <b/>
      <sz val="14"/>
      <color theme="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i/>
      <sz val="14"/>
      <color theme="1"/>
      <name val="Calibri"/>
      <family val="2"/>
    </font>
    <font>
      <b/>
      <sz val="16"/>
      <color theme="0"/>
      <name val="Calibri"/>
      <family val="2"/>
    </font>
    <font>
      <b/>
      <sz val="28"/>
      <color theme="0"/>
      <name val="Calibri"/>
      <family val="2"/>
    </font>
    <font>
      <sz val="18"/>
      <color rgb="FF0F1115"/>
      <name val="Calibri"/>
      <family val="2"/>
    </font>
    <font>
      <sz val="18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6B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9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1"/>
      </left>
      <right style="thin">
        <color theme="2"/>
      </right>
      <top style="thin">
        <color auto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2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 style="thin">
        <color auto="1"/>
      </right>
      <top style="thin">
        <color theme="1"/>
      </top>
      <bottom style="thin">
        <color theme="2"/>
      </bottom>
      <diagonal/>
    </border>
    <border>
      <left style="thin">
        <color auto="1"/>
      </left>
      <right/>
      <top style="thin">
        <color theme="2"/>
      </top>
      <bottom style="thin">
        <color auto="1"/>
      </bottom>
      <diagonal/>
    </border>
    <border>
      <left/>
      <right/>
      <top style="thin">
        <color theme="2"/>
      </top>
      <bottom style="thin">
        <color auto="1"/>
      </bottom>
      <diagonal/>
    </border>
    <border>
      <left/>
      <right style="thin">
        <color auto="1"/>
      </right>
      <top style="thin">
        <color theme="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2"/>
      </bottom>
      <diagonal/>
    </border>
    <border>
      <left/>
      <right/>
      <top style="thin">
        <color auto="1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/>
    <xf numFmtId="10" fontId="4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9" fontId="5" fillId="0" borderId="0" xfId="0" applyNumberFormat="1" applyFont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vertical="top" wrapText="1"/>
    </xf>
    <xf numFmtId="0" fontId="7" fillId="0" borderId="0" xfId="0" applyFont="1"/>
    <xf numFmtId="3" fontId="2" fillId="0" borderId="0" xfId="0" applyNumberFormat="1" applyFont="1"/>
    <xf numFmtId="0" fontId="7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7" fontId="2" fillId="0" borderId="0" xfId="0" applyNumberFormat="1" applyFont="1"/>
    <xf numFmtId="37" fontId="2" fillId="9" borderId="0" xfId="0" applyNumberFormat="1" applyFont="1" applyFill="1"/>
    <xf numFmtId="10" fontId="2" fillId="9" borderId="0" xfId="1" applyNumberFormat="1" applyFont="1" applyFill="1"/>
    <xf numFmtId="1" fontId="2" fillId="9" borderId="0" xfId="0" applyNumberFormat="1" applyFont="1" applyFill="1"/>
    <xf numFmtId="3" fontId="2" fillId="9" borderId="0" xfId="0" applyNumberFormat="1" applyFont="1" applyFill="1"/>
    <xf numFmtId="0" fontId="7" fillId="9" borderId="0" xfId="0" applyFont="1" applyFill="1"/>
    <xf numFmtId="0" fontId="2" fillId="9" borderId="0" xfId="0" applyFont="1" applyFill="1"/>
    <xf numFmtId="0" fontId="2" fillId="0" borderId="0" xfId="0" applyFont="1" applyAlignment="1">
      <alignment wrapText="1"/>
    </xf>
    <xf numFmtId="0" fontId="2" fillId="7" borderId="0" xfId="0" applyFont="1" applyFill="1" applyAlignment="1">
      <alignment horizontal="center" vertical="center"/>
    </xf>
    <xf numFmtId="37" fontId="2" fillId="2" borderId="0" xfId="0" applyNumberFormat="1" applyFont="1" applyFill="1"/>
    <xf numFmtId="10" fontId="2" fillId="2" borderId="0" xfId="1" applyNumberFormat="1" applyFont="1" applyFill="1"/>
    <xf numFmtId="1" fontId="2" fillId="2" borderId="0" xfId="0" applyNumberFormat="1" applyFont="1" applyFill="1"/>
    <xf numFmtId="0" fontId="2" fillId="2" borderId="0" xfId="0" applyFont="1" applyFill="1"/>
    <xf numFmtId="3" fontId="2" fillId="7" borderId="0" xfId="0" applyNumberFormat="1" applyFont="1" applyFill="1"/>
    <xf numFmtId="9" fontId="2" fillId="7" borderId="0" xfId="1" applyFont="1" applyFill="1"/>
    <xf numFmtId="10" fontId="2" fillId="7" borderId="0" xfId="1" applyNumberFormat="1" applyFont="1" applyFill="1"/>
    <xf numFmtId="0" fontId="2" fillId="7" borderId="0" xfId="0" applyFont="1" applyFill="1"/>
    <xf numFmtId="1" fontId="2" fillId="7" borderId="0" xfId="0" applyNumberFormat="1" applyFont="1" applyFill="1"/>
    <xf numFmtId="164" fontId="2" fillId="7" borderId="0" xfId="0" applyNumberFormat="1" applyFont="1" applyFill="1"/>
    <xf numFmtId="37" fontId="2" fillId="7" borderId="0" xfId="0" applyNumberFormat="1" applyFont="1" applyFill="1"/>
    <xf numFmtId="0" fontId="10" fillId="0" borderId="0" xfId="0" applyFont="1"/>
    <xf numFmtId="3" fontId="11" fillId="0" borderId="0" xfId="0" applyNumberFormat="1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0" fontId="18" fillId="10" borderId="0" xfId="0" applyFont="1" applyFill="1" applyAlignment="1">
      <alignment horizontal="left"/>
    </xf>
    <xf numFmtId="0" fontId="18" fillId="10" borderId="0" xfId="0" applyFont="1" applyFill="1" applyAlignment="1">
      <alignment horizontal="center"/>
    </xf>
    <xf numFmtId="37" fontId="15" fillId="0" borderId="0" xfId="0" applyNumberFormat="1" applyFont="1"/>
    <xf numFmtId="0" fontId="17" fillId="3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vertical="center"/>
    </xf>
    <xf numFmtId="0" fontId="15" fillId="11" borderId="0" xfId="0" applyFont="1" applyFill="1" applyAlignment="1">
      <alignment horizontal="center"/>
    </xf>
    <xf numFmtId="10" fontId="15" fillId="11" borderId="0" xfId="0" applyNumberFormat="1" applyFont="1" applyFill="1" applyAlignment="1">
      <alignment horizontal="center"/>
    </xf>
    <xf numFmtId="9" fontId="15" fillId="11" borderId="0" xfId="0" applyNumberFormat="1" applyFont="1" applyFill="1" applyAlignment="1">
      <alignment horizontal="center"/>
    </xf>
    <xf numFmtId="0" fontId="3" fillId="5" borderId="4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3" fontId="4" fillId="0" borderId="5" xfId="0" applyNumberFormat="1" applyFont="1" applyBorder="1" applyAlignment="1">
      <alignment vertical="top" wrapText="1"/>
    </xf>
    <xf numFmtId="0" fontId="4" fillId="0" borderId="5" xfId="0" applyFont="1" applyBorder="1" applyAlignment="1">
      <alignment horizontal="right" vertical="top" wrapText="1"/>
    </xf>
    <xf numFmtId="0" fontId="5" fillId="4" borderId="5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10" fontId="4" fillId="0" borderId="8" xfId="0" applyNumberFormat="1" applyFon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4" borderId="8" xfId="0" applyFont="1" applyFill="1" applyBorder="1" applyAlignment="1">
      <alignment vertical="top" wrapText="1"/>
    </xf>
    <xf numFmtId="3" fontId="4" fillId="0" borderId="8" xfId="0" applyNumberFormat="1" applyFont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right" vertical="top" wrapText="1"/>
    </xf>
    <xf numFmtId="0" fontId="4" fillId="0" borderId="11" xfId="0" applyFont="1" applyBorder="1" applyAlignment="1">
      <alignment vertical="top" wrapText="1"/>
    </xf>
    <xf numFmtId="9" fontId="4" fillId="0" borderId="5" xfId="0" applyNumberFormat="1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9" fontId="5" fillId="0" borderId="8" xfId="0" applyNumberFormat="1" applyFont="1" applyBorder="1" applyAlignment="1">
      <alignment vertical="top" wrapText="1"/>
    </xf>
    <xf numFmtId="0" fontId="5" fillId="0" borderId="8" xfId="0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3" fontId="6" fillId="0" borderId="5" xfId="0" applyNumberFormat="1" applyFont="1" applyBorder="1" applyAlignment="1">
      <alignment vertical="top" wrapText="1"/>
    </xf>
    <xf numFmtId="0" fontId="6" fillId="0" borderId="5" xfId="0" applyFont="1" applyBorder="1" applyAlignment="1">
      <alignment horizontal="right" vertical="top" wrapText="1"/>
    </xf>
    <xf numFmtId="0" fontId="6" fillId="4" borderId="5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3" fontId="5" fillId="0" borderId="8" xfId="0" applyNumberFormat="1" applyFont="1" applyBorder="1" applyAlignment="1">
      <alignment vertical="top" wrapText="1"/>
    </xf>
    <xf numFmtId="9" fontId="17" fillId="3" borderId="0" xfId="0" applyNumberFormat="1" applyFont="1" applyFill="1"/>
    <xf numFmtId="0" fontId="2" fillId="12" borderId="0" xfId="0" applyFont="1" applyFill="1"/>
    <xf numFmtId="0" fontId="14" fillId="12" borderId="0" xfId="0" applyFont="1" applyFill="1" applyAlignment="1">
      <alignment horizontal="center"/>
    </xf>
    <xf numFmtId="0" fontId="15" fillId="13" borderId="0" xfId="0" applyFont="1" applyFill="1" applyAlignment="1">
      <alignment vertical="center"/>
    </xf>
    <xf numFmtId="9" fontId="15" fillId="13" borderId="0" xfId="0" applyNumberFormat="1" applyFont="1" applyFill="1" applyAlignment="1">
      <alignment vertical="center"/>
    </xf>
    <xf numFmtId="0" fontId="14" fillId="1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37" fontId="2" fillId="0" borderId="0" xfId="0" applyNumberFormat="1" applyFont="1" applyAlignment="1">
      <alignment vertical="center"/>
    </xf>
    <xf numFmtId="37" fontId="14" fillId="8" borderId="0" xfId="0" applyNumberFormat="1" applyFont="1" applyFill="1"/>
    <xf numFmtId="0" fontId="12" fillId="7" borderId="4" xfId="0" applyFont="1" applyFill="1" applyBorder="1"/>
    <xf numFmtId="0" fontId="15" fillId="0" borderId="5" xfId="0" applyFont="1" applyBorder="1"/>
    <xf numFmtId="37" fontId="15" fillId="9" borderId="5" xfId="0" applyNumberFormat="1" applyFont="1" applyFill="1" applyBorder="1"/>
    <xf numFmtId="37" fontId="15" fillId="2" borderId="5" xfId="0" applyNumberFormat="1" applyFont="1" applyFill="1" applyBorder="1"/>
    <xf numFmtId="37" fontId="15" fillId="6" borderId="5" xfId="0" applyNumberFormat="1" applyFont="1" applyFill="1" applyBorder="1"/>
    <xf numFmtId="37" fontId="15" fillId="7" borderId="5" xfId="0" applyNumberFormat="1" applyFont="1" applyFill="1" applyBorder="1"/>
    <xf numFmtId="37" fontId="15" fillId="7" borderId="6" xfId="0" applyNumberFormat="1" applyFont="1" applyFill="1" applyBorder="1"/>
    <xf numFmtId="10" fontId="15" fillId="9" borderId="5" xfId="1" applyNumberFormat="1" applyFont="1" applyFill="1" applyBorder="1"/>
    <xf numFmtId="10" fontId="15" fillId="2" borderId="5" xfId="1" applyNumberFormat="1" applyFont="1" applyFill="1" applyBorder="1"/>
    <xf numFmtId="10" fontId="15" fillId="6" borderId="5" xfId="1" applyNumberFormat="1" applyFont="1" applyFill="1" applyBorder="1"/>
    <xf numFmtId="10" fontId="15" fillId="7" borderId="5" xfId="0" applyNumberFormat="1" applyFont="1" applyFill="1" applyBorder="1"/>
    <xf numFmtId="10" fontId="15" fillId="7" borderId="6" xfId="0" applyNumberFormat="1" applyFont="1" applyFill="1" applyBorder="1"/>
    <xf numFmtId="37" fontId="12" fillId="7" borderId="5" xfId="0" applyNumberFormat="1" applyFont="1" applyFill="1" applyBorder="1"/>
    <xf numFmtId="37" fontId="12" fillId="7" borderId="6" xfId="0" applyNumberFormat="1" applyFont="1" applyFill="1" applyBorder="1"/>
    <xf numFmtId="37" fontId="12" fillId="9" borderId="5" xfId="0" applyNumberFormat="1" applyFont="1" applyFill="1" applyBorder="1"/>
    <xf numFmtId="37" fontId="12" fillId="2" borderId="5" xfId="0" applyNumberFormat="1" applyFont="1" applyFill="1" applyBorder="1"/>
    <xf numFmtId="37" fontId="12" fillId="6" borderId="5" xfId="0" applyNumberFormat="1" applyFont="1" applyFill="1" applyBorder="1"/>
    <xf numFmtId="39" fontId="15" fillId="9" borderId="5" xfId="0" applyNumberFormat="1" applyFont="1" applyFill="1" applyBorder="1"/>
    <xf numFmtId="39" fontId="15" fillId="2" borderId="5" xfId="0" applyNumberFormat="1" applyFont="1" applyFill="1" applyBorder="1"/>
    <xf numFmtId="39" fontId="15" fillId="6" borderId="5" xfId="0" applyNumberFormat="1" applyFont="1" applyFill="1" applyBorder="1"/>
    <xf numFmtId="39" fontId="15" fillId="7" borderId="5" xfId="0" applyNumberFormat="1" applyFont="1" applyFill="1" applyBorder="1"/>
    <xf numFmtId="39" fontId="15" fillId="7" borderId="6" xfId="0" applyNumberFormat="1" applyFont="1" applyFill="1" applyBorder="1"/>
    <xf numFmtId="2" fontId="12" fillId="7" borderId="7" xfId="0" applyNumberFormat="1" applyFont="1" applyFill="1" applyBorder="1"/>
    <xf numFmtId="0" fontId="15" fillId="0" borderId="8" xfId="0" applyFont="1" applyBorder="1"/>
    <xf numFmtId="10" fontId="15" fillId="9" borderId="8" xfId="1" applyNumberFormat="1" applyFont="1" applyFill="1" applyBorder="1"/>
    <xf numFmtId="10" fontId="15" fillId="2" borderId="8" xfId="1" applyNumberFormat="1" applyFont="1" applyFill="1" applyBorder="1"/>
    <xf numFmtId="10" fontId="15" fillId="6" borderId="8" xfId="1" applyNumberFormat="1" applyFont="1" applyFill="1" applyBorder="1"/>
    <xf numFmtId="10" fontId="15" fillId="7" borderId="8" xfId="1" applyNumberFormat="1" applyFont="1" applyFill="1" applyBorder="1"/>
    <xf numFmtId="10" fontId="15" fillId="7" borderId="9" xfId="1" applyNumberFormat="1" applyFont="1" applyFill="1" applyBorder="1"/>
    <xf numFmtId="0" fontId="12" fillId="7" borderId="7" xfId="0" applyFont="1" applyFill="1" applyBorder="1"/>
    <xf numFmtId="37" fontId="12" fillId="9" borderId="8" xfId="0" applyNumberFormat="1" applyFont="1" applyFill="1" applyBorder="1"/>
    <xf numFmtId="37" fontId="15" fillId="2" borderId="8" xfId="0" applyNumberFormat="1" applyFont="1" applyFill="1" applyBorder="1"/>
    <xf numFmtId="37" fontId="15" fillId="6" borderId="8" xfId="0" applyNumberFormat="1" applyFont="1" applyFill="1" applyBorder="1"/>
    <xf numFmtId="37" fontId="15" fillId="7" borderId="8" xfId="0" applyNumberFormat="1" applyFont="1" applyFill="1" applyBorder="1"/>
    <xf numFmtId="37" fontId="15" fillId="7" borderId="9" xfId="0" applyNumberFormat="1" applyFont="1" applyFill="1" applyBorder="1"/>
    <xf numFmtId="0" fontId="12" fillId="7" borderId="7" xfId="0" applyFont="1" applyFill="1" applyBorder="1" applyAlignment="1">
      <alignment vertical="center"/>
    </xf>
    <xf numFmtId="0" fontId="15" fillId="0" borderId="8" xfId="0" applyFont="1" applyBorder="1" applyAlignment="1">
      <alignment wrapText="1"/>
    </xf>
    <xf numFmtId="37" fontId="12" fillId="2" borderId="8" xfId="0" applyNumberFormat="1" applyFont="1" applyFill="1" applyBorder="1"/>
    <xf numFmtId="37" fontId="12" fillId="7" borderId="8" xfId="0" applyNumberFormat="1" applyFont="1" applyFill="1" applyBorder="1"/>
    <xf numFmtId="37" fontId="12" fillId="7" borderId="9" xfId="0" applyNumberFormat="1" applyFont="1" applyFill="1" applyBorder="1"/>
    <xf numFmtId="0" fontId="22" fillId="3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0" fontId="5" fillId="6" borderId="16" xfId="0" applyFont="1" applyFill="1" applyBorder="1" applyAlignment="1">
      <alignment vertical="top" wrapText="1"/>
    </xf>
    <xf numFmtId="0" fontId="5" fillId="6" borderId="17" xfId="0" applyFont="1" applyFill="1" applyBorder="1" applyAlignment="1">
      <alignment vertical="top" wrapText="1"/>
    </xf>
    <xf numFmtId="0" fontId="5" fillId="6" borderId="18" xfId="0" applyFont="1" applyFill="1" applyBorder="1" applyAlignment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9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5" fillId="11" borderId="0" xfId="0" applyFont="1" applyFill="1" applyAlignment="1">
      <alignment horizontal="left"/>
    </xf>
    <xf numFmtId="0" fontId="12" fillId="11" borderId="16" xfId="0" applyFont="1" applyFill="1" applyBorder="1" applyAlignment="1">
      <alignment horizontal="left" vertical="top" wrapText="1"/>
    </xf>
    <xf numFmtId="0" fontId="13" fillId="11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/>
    </xf>
    <xf numFmtId="0" fontId="19" fillId="3" borderId="20" xfId="0" applyFont="1" applyFill="1" applyBorder="1" applyAlignment="1">
      <alignment horizontal="center"/>
    </xf>
    <xf numFmtId="0" fontId="19" fillId="3" borderId="21" xfId="0" applyFont="1" applyFill="1" applyBorder="1" applyAlignment="1">
      <alignment horizontal="center"/>
    </xf>
    <xf numFmtId="0" fontId="14" fillId="12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10" fontId="2" fillId="0" borderId="0" xfId="0" applyNumberFormat="1" applyFont="1"/>
    <xf numFmtId="10" fontId="11" fillId="0" borderId="0" xfId="0" applyNumberFormat="1" applyFont="1"/>
    <xf numFmtId="0" fontId="11" fillId="0" borderId="0" xfId="0" applyFont="1"/>
    <xf numFmtId="0" fontId="12" fillId="11" borderId="17" xfId="0" applyFont="1" applyFill="1" applyBorder="1" applyAlignment="1">
      <alignment horizontal="left" vertical="top" wrapText="1"/>
    </xf>
    <xf numFmtId="0" fontId="12" fillId="11" borderId="18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top" wrapText="1"/>
    </xf>
    <xf numFmtId="0" fontId="16" fillId="3" borderId="10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7CE"/>
      <color rgb="FFFFF894"/>
      <color rgb="FFFFF6B2"/>
      <color rgb="FFFFFF49"/>
      <color rgb="FFFFF5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E3BF-DAEA-B24A-B184-8A1F306F5868}">
  <dimension ref="A1:K47"/>
  <sheetViews>
    <sheetView showGridLines="0" tabSelected="1" zoomScale="80" zoomScaleNormal="80" workbookViewId="0">
      <pane ySplit="3" topLeftCell="A4" activePane="bottomLeft" state="frozen"/>
      <selection pane="bottomLeft" activeCell="F9" sqref="F9"/>
    </sheetView>
  </sheetViews>
  <sheetFormatPr baseColWidth="10" defaultRowHeight="16" x14ac:dyDescent="0.2"/>
  <cols>
    <col min="1" max="1" width="21.1640625" style="1" customWidth="1"/>
    <col min="2" max="2" width="49.33203125" style="1" customWidth="1"/>
    <col min="3" max="3" width="26.5" style="1" customWidth="1"/>
    <col min="4" max="4" width="30.33203125" style="1" customWidth="1"/>
    <col min="5" max="5" width="19.1640625" style="1" customWidth="1"/>
    <col min="6" max="6" width="64.33203125" style="1" customWidth="1"/>
    <col min="7" max="9" width="10.83203125" style="1"/>
    <col min="10" max="10" width="52.6640625" style="1" customWidth="1"/>
    <col min="11" max="16384" width="10.83203125" style="1"/>
  </cols>
  <sheetData>
    <row r="1" spans="1:11" ht="44" customHeight="1" x14ac:dyDescent="0.2">
      <c r="A1" s="133" t="s">
        <v>68</v>
      </c>
      <c r="B1" s="133"/>
      <c r="C1" s="133"/>
      <c r="D1" s="133"/>
      <c r="E1" s="133"/>
      <c r="F1" s="133"/>
      <c r="G1" s="133"/>
      <c r="H1" s="133"/>
      <c r="I1" s="133"/>
      <c r="J1" s="133"/>
    </row>
    <row r="3" spans="1:11" ht="27" x14ac:dyDescent="0.2">
      <c r="A3" s="52" t="s">
        <v>0</v>
      </c>
      <c r="B3" s="53" t="s">
        <v>1</v>
      </c>
      <c r="C3" s="53" t="s">
        <v>2</v>
      </c>
      <c r="D3" s="53" t="s">
        <v>3</v>
      </c>
      <c r="E3" s="53" t="s">
        <v>4</v>
      </c>
      <c r="F3" s="53" t="s">
        <v>5</v>
      </c>
      <c r="G3" s="136" t="s">
        <v>6</v>
      </c>
      <c r="H3" s="136"/>
      <c r="I3" s="136"/>
      <c r="J3" s="137"/>
    </row>
    <row r="4" spans="1:11" ht="34" customHeight="1" x14ac:dyDescent="0.2">
      <c r="A4" s="183" t="s">
        <v>7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1" ht="113" customHeight="1" x14ac:dyDescent="0.2">
      <c r="A5" s="54" t="s">
        <v>8</v>
      </c>
      <c r="B5" s="55" t="s">
        <v>9</v>
      </c>
      <c r="C5" s="56">
        <v>45000000</v>
      </c>
      <c r="D5" s="56">
        <v>45000000</v>
      </c>
      <c r="E5" s="57" t="s">
        <v>10</v>
      </c>
      <c r="F5" s="58" t="s">
        <v>147</v>
      </c>
      <c r="G5" s="134" t="s">
        <v>11</v>
      </c>
      <c r="H5" s="134"/>
      <c r="I5" s="134"/>
      <c r="J5" s="135"/>
    </row>
    <row r="6" spans="1:11" ht="184" customHeight="1" x14ac:dyDescent="0.2">
      <c r="A6" s="59" t="s">
        <v>8</v>
      </c>
      <c r="B6" s="60" t="s">
        <v>12</v>
      </c>
      <c r="C6" s="61">
        <v>0.115</v>
      </c>
      <c r="D6" s="60"/>
      <c r="E6" s="62" t="s">
        <v>13</v>
      </c>
      <c r="F6" s="63" t="s">
        <v>88</v>
      </c>
      <c r="G6" s="138"/>
      <c r="H6" s="138"/>
      <c r="I6" s="138"/>
      <c r="J6" s="139"/>
    </row>
    <row r="7" spans="1:11" ht="28" customHeight="1" x14ac:dyDescent="0.3">
      <c r="A7" s="3"/>
      <c r="B7" s="3"/>
      <c r="C7" s="4"/>
      <c r="D7" s="3"/>
      <c r="E7" s="3"/>
      <c r="F7" s="5"/>
      <c r="G7" s="140"/>
      <c r="H7" s="140"/>
      <c r="I7" s="140"/>
      <c r="J7" s="140"/>
    </row>
    <row r="8" spans="1:11" ht="26" x14ac:dyDescent="0.2">
      <c r="A8" s="186" t="s">
        <v>14</v>
      </c>
      <c r="B8" s="187"/>
      <c r="C8" s="187"/>
      <c r="D8" s="187"/>
      <c r="E8" s="187"/>
      <c r="F8" s="187"/>
      <c r="G8" s="187"/>
      <c r="H8" s="187"/>
      <c r="I8" s="187"/>
      <c r="J8" s="188"/>
    </row>
    <row r="9" spans="1:11" ht="81" x14ac:dyDescent="0.2">
      <c r="A9" s="54" t="s">
        <v>15</v>
      </c>
      <c r="B9" s="55" t="s">
        <v>16</v>
      </c>
      <c r="C9" s="56">
        <v>360000</v>
      </c>
      <c r="D9" s="56">
        <v>360000</v>
      </c>
      <c r="E9" s="57" t="s">
        <v>10</v>
      </c>
      <c r="F9" s="58" t="s">
        <v>17</v>
      </c>
      <c r="G9" s="134" t="s">
        <v>18</v>
      </c>
      <c r="H9" s="134"/>
      <c r="I9" s="134"/>
      <c r="J9" s="135"/>
      <c r="K9" s="12"/>
    </row>
    <row r="10" spans="1:11" ht="69" customHeight="1" x14ac:dyDescent="0.2">
      <c r="A10" s="54" t="s">
        <v>15</v>
      </c>
      <c r="B10" s="55" t="s">
        <v>19</v>
      </c>
      <c r="C10" s="56">
        <v>570000</v>
      </c>
      <c r="D10" s="56">
        <v>570000</v>
      </c>
      <c r="E10" s="57" t="s">
        <v>10</v>
      </c>
      <c r="F10" s="58" t="s">
        <v>20</v>
      </c>
      <c r="G10" s="134" t="s">
        <v>21</v>
      </c>
      <c r="H10" s="134"/>
      <c r="I10" s="134"/>
      <c r="J10" s="135"/>
      <c r="K10" s="12"/>
    </row>
    <row r="11" spans="1:11" ht="88" customHeight="1" x14ac:dyDescent="0.2">
      <c r="A11" s="54" t="s">
        <v>15</v>
      </c>
      <c r="B11" s="55" t="s">
        <v>22</v>
      </c>
      <c r="C11" s="56">
        <v>1125000</v>
      </c>
      <c r="D11" s="56">
        <v>1125000</v>
      </c>
      <c r="E11" s="57" t="s">
        <v>10</v>
      </c>
      <c r="F11" s="58" t="s">
        <v>23</v>
      </c>
      <c r="G11" s="134" t="s">
        <v>24</v>
      </c>
      <c r="H11" s="134"/>
      <c r="I11" s="134"/>
      <c r="J11" s="135"/>
      <c r="K11" s="12"/>
    </row>
    <row r="12" spans="1:11" ht="144" customHeight="1" x14ac:dyDescent="0.2">
      <c r="A12" s="54" t="s">
        <v>15</v>
      </c>
      <c r="B12" s="55" t="s">
        <v>25</v>
      </c>
      <c r="C12" s="56">
        <v>400000</v>
      </c>
      <c r="D12" s="56">
        <v>400000</v>
      </c>
      <c r="E12" s="57" t="s">
        <v>10</v>
      </c>
      <c r="F12" s="58" t="s">
        <v>148</v>
      </c>
      <c r="G12" s="134"/>
      <c r="H12" s="134"/>
      <c r="I12" s="134"/>
      <c r="J12" s="135"/>
      <c r="K12" s="12"/>
    </row>
    <row r="13" spans="1:11" ht="163" customHeight="1" x14ac:dyDescent="0.2">
      <c r="A13" s="54" t="s">
        <v>15</v>
      </c>
      <c r="B13" s="55" t="s">
        <v>26</v>
      </c>
      <c r="C13" s="56">
        <v>500000</v>
      </c>
      <c r="D13" s="56">
        <v>500000</v>
      </c>
      <c r="E13" s="57" t="s">
        <v>10</v>
      </c>
      <c r="F13" s="58" t="s">
        <v>151</v>
      </c>
      <c r="G13" s="134" t="s">
        <v>27</v>
      </c>
      <c r="H13" s="134"/>
      <c r="I13" s="134"/>
      <c r="J13" s="135"/>
      <c r="K13" s="12"/>
    </row>
    <row r="14" spans="1:11" ht="171" customHeight="1" x14ac:dyDescent="0.2">
      <c r="A14" s="54" t="s">
        <v>15</v>
      </c>
      <c r="B14" s="55" t="s">
        <v>28</v>
      </c>
      <c r="C14" s="56">
        <v>200000</v>
      </c>
      <c r="D14" s="56">
        <v>200000</v>
      </c>
      <c r="E14" s="57" t="s">
        <v>10</v>
      </c>
      <c r="F14" s="58" t="s">
        <v>149</v>
      </c>
      <c r="G14" s="134" t="s">
        <v>29</v>
      </c>
      <c r="H14" s="134"/>
      <c r="I14" s="134"/>
      <c r="J14" s="135"/>
      <c r="K14" s="12"/>
    </row>
    <row r="15" spans="1:11" ht="178" customHeight="1" x14ac:dyDescent="0.2">
      <c r="A15" s="59" t="s">
        <v>15</v>
      </c>
      <c r="B15" s="60" t="s">
        <v>30</v>
      </c>
      <c r="C15" s="64">
        <v>50000</v>
      </c>
      <c r="D15" s="64">
        <v>50000</v>
      </c>
      <c r="E15" s="62" t="s">
        <v>10</v>
      </c>
      <c r="F15" s="65" t="s">
        <v>150</v>
      </c>
      <c r="G15" s="142" t="s">
        <v>70</v>
      </c>
      <c r="H15" s="142"/>
      <c r="I15" s="142"/>
      <c r="J15" s="143"/>
      <c r="K15" s="12"/>
    </row>
    <row r="16" spans="1:11" ht="26" x14ac:dyDescent="0.3">
      <c r="A16" s="3"/>
      <c r="B16" s="3"/>
      <c r="C16" s="6"/>
      <c r="D16" s="6"/>
      <c r="E16" s="3"/>
      <c r="F16" s="5"/>
      <c r="G16" s="140"/>
      <c r="H16" s="140"/>
      <c r="I16" s="140"/>
      <c r="J16" s="140"/>
    </row>
    <row r="17" spans="1:10" ht="34" customHeight="1" x14ac:dyDescent="0.2">
      <c r="A17" s="189" t="s">
        <v>85</v>
      </c>
      <c r="B17" s="184"/>
      <c r="C17" s="184"/>
      <c r="D17" s="184"/>
      <c r="E17" s="184"/>
      <c r="F17" s="184"/>
      <c r="G17" s="184"/>
      <c r="H17" s="184"/>
      <c r="I17" s="184"/>
      <c r="J17" s="185"/>
    </row>
    <row r="18" spans="1:10" ht="62" customHeight="1" x14ac:dyDescent="0.2">
      <c r="A18" s="66" t="s">
        <v>34</v>
      </c>
      <c r="B18" s="67" t="s">
        <v>35</v>
      </c>
      <c r="C18" s="67">
        <v>422.7</v>
      </c>
      <c r="D18" s="67"/>
      <c r="E18" s="68" t="s">
        <v>36</v>
      </c>
      <c r="F18" s="58" t="s">
        <v>168</v>
      </c>
      <c r="G18" s="134" t="s">
        <v>37</v>
      </c>
      <c r="H18" s="134"/>
      <c r="I18" s="134"/>
      <c r="J18" s="135"/>
    </row>
    <row r="19" spans="1:10" ht="59" customHeight="1" x14ac:dyDescent="0.2">
      <c r="A19" s="66" t="s">
        <v>34</v>
      </c>
      <c r="B19" s="67" t="s">
        <v>38</v>
      </c>
      <c r="C19" s="67"/>
      <c r="D19" s="67">
        <v>856.9</v>
      </c>
      <c r="E19" s="68" t="s">
        <v>36</v>
      </c>
      <c r="F19" s="58" t="s">
        <v>168</v>
      </c>
      <c r="G19" s="134" t="s">
        <v>39</v>
      </c>
      <c r="H19" s="134"/>
      <c r="I19" s="134"/>
      <c r="J19" s="135"/>
    </row>
    <row r="20" spans="1:10" ht="216" x14ac:dyDescent="0.2">
      <c r="A20" s="69" t="s">
        <v>34</v>
      </c>
      <c r="B20" s="55" t="s">
        <v>40</v>
      </c>
      <c r="C20" s="70">
        <v>0.35</v>
      </c>
      <c r="D20" s="70">
        <v>0.35</v>
      </c>
      <c r="E20" s="57" t="s">
        <v>13</v>
      </c>
      <c r="F20" s="58" t="s">
        <v>152</v>
      </c>
      <c r="G20" s="134"/>
      <c r="H20" s="134"/>
      <c r="I20" s="134"/>
      <c r="J20" s="135"/>
    </row>
    <row r="21" spans="1:10" ht="247" customHeight="1" x14ac:dyDescent="0.2">
      <c r="A21" s="69" t="s">
        <v>34</v>
      </c>
      <c r="B21" s="55" t="s">
        <v>41</v>
      </c>
      <c r="C21" s="70">
        <v>0.7</v>
      </c>
      <c r="D21" s="70">
        <v>0.7</v>
      </c>
      <c r="E21" s="57" t="s">
        <v>13</v>
      </c>
      <c r="F21" s="58" t="s">
        <v>153</v>
      </c>
      <c r="G21" s="134"/>
      <c r="H21" s="134"/>
      <c r="I21" s="134"/>
      <c r="J21" s="135"/>
    </row>
    <row r="22" spans="1:10" ht="160" customHeight="1" x14ac:dyDescent="0.2">
      <c r="A22" s="71" t="s">
        <v>34</v>
      </c>
      <c r="B22" s="72" t="s">
        <v>42</v>
      </c>
      <c r="C22" s="73">
        <v>0.3</v>
      </c>
      <c r="D22" s="73">
        <v>0.3</v>
      </c>
      <c r="E22" s="74" t="s">
        <v>13</v>
      </c>
      <c r="F22" s="65" t="s">
        <v>154</v>
      </c>
      <c r="G22" s="142"/>
      <c r="H22" s="142"/>
      <c r="I22" s="142"/>
      <c r="J22" s="143"/>
    </row>
    <row r="23" spans="1:10" ht="34" customHeight="1" x14ac:dyDescent="0.3">
      <c r="A23" s="7"/>
      <c r="B23" s="7"/>
      <c r="C23" s="8"/>
      <c r="D23" s="8"/>
      <c r="E23" s="7"/>
      <c r="F23" s="9"/>
      <c r="G23" s="141"/>
      <c r="H23" s="141"/>
      <c r="I23" s="141"/>
      <c r="J23" s="141"/>
    </row>
    <row r="24" spans="1:10" ht="35" customHeight="1" x14ac:dyDescent="0.2">
      <c r="A24" s="183" t="s">
        <v>86</v>
      </c>
      <c r="B24" s="184"/>
      <c r="C24" s="184"/>
      <c r="D24" s="184"/>
      <c r="E24" s="184"/>
      <c r="F24" s="184"/>
      <c r="G24" s="184"/>
      <c r="H24" s="184"/>
      <c r="I24" s="184"/>
      <c r="J24" s="185"/>
    </row>
    <row r="25" spans="1:10" ht="256" customHeight="1" x14ac:dyDescent="0.2">
      <c r="A25" s="54" t="s">
        <v>43</v>
      </c>
      <c r="B25" s="55" t="s">
        <v>44</v>
      </c>
      <c r="C25" s="55">
        <v>67</v>
      </c>
      <c r="D25" s="55">
        <v>67</v>
      </c>
      <c r="E25" s="57" t="s">
        <v>45</v>
      </c>
      <c r="F25" s="58" t="s">
        <v>155</v>
      </c>
      <c r="G25" s="134" t="s">
        <v>71</v>
      </c>
      <c r="H25" s="134"/>
      <c r="I25" s="134"/>
      <c r="J25" s="135"/>
    </row>
    <row r="26" spans="1:10" ht="174" customHeight="1" x14ac:dyDescent="0.2">
      <c r="A26" s="54" t="s">
        <v>43</v>
      </c>
      <c r="B26" s="55" t="s">
        <v>46</v>
      </c>
      <c r="C26" s="55">
        <v>45</v>
      </c>
      <c r="D26" s="55"/>
      <c r="E26" s="57" t="s">
        <v>45</v>
      </c>
      <c r="F26" s="58" t="s">
        <v>156</v>
      </c>
      <c r="G26" s="134" t="s">
        <v>47</v>
      </c>
      <c r="H26" s="134"/>
      <c r="I26" s="134"/>
      <c r="J26" s="135"/>
    </row>
    <row r="27" spans="1:10" ht="248" customHeight="1" x14ac:dyDescent="0.2">
      <c r="A27" s="54" t="s">
        <v>43</v>
      </c>
      <c r="B27" s="55" t="s">
        <v>48</v>
      </c>
      <c r="C27" s="55"/>
      <c r="D27" s="55">
        <v>80</v>
      </c>
      <c r="E27" s="57" t="s">
        <v>45</v>
      </c>
      <c r="F27" s="58" t="s">
        <v>157</v>
      </c>
      <c r="G27" s="134" t="s">
        <v>177</v>
      </c>
      <c r="H27" s="134"/>
      <c r="I27" s="134"/>
      <c r="J27" s="135"/>
    </row>
    <row r="28" spans="1:10" ht="250" customHeight="1" x14ac:dyDescent="0.2">
      <c r="A28" s="54" t="s">
        <v>43</v>
      </c>
      <c r="B28" s="55" t="s">
        <v>49</v>
      </c>
      <c r="C28" s="55">
        <v>32</v>
      </c>
      <c r="D28" s="55"/>
      <c r="E28" s="57" t="s">
        <v>45</v>
      </c>
      <c r="F28" s="58" t="s">
        <v>158</v>
      </c>
      <c r="G28" s="134" t="s">
        <v>50</v>
      </c>
      <c r="H28" s="134"/>
      <c r="I28" s="134"/>
      <c r="J28" s="135"/>
    </row>
    <row r="29" spans="1:10" ht="123" customHeight="1" x14ac:dyDescent="0.2">
      <c r="A29" s="59" t="s">
        <v>43</v>
      </c>
      <c r="B29" s="60" t="s">
        <v>51</v>
      </c>
      <c r="C29" s="60"/>
      <c r="D29" s="60">
        <v>30</v>
      </c>
      <c r="E29" s="62" t="s">
        <v>45</v>
      </c>
      <c r="F29" s="65" t="s">
        <v>159</v>
      </c>
      <c r="G29" s="142" t="s">
        <v>160</v>
      </c>
      <c r="H29" s="142"/>
      <c r="I29" s="142"/>
      <c r="J29" s="143"/>
    </row>
    <row r="30" spans="1:10" ht="34" customHeight="1" x14ac:dyDescent="0.3">
      <c r="A30" s="3"/>
      <c r="B30" s="3"/>
      <c r="C30" s="3"/>
      <c r="D30" s="3"/>
      <c r="E30" s="3"/>
      <c r="F30" s="5"/>
      <c r="G30" s="140"/>
      <c r="H30" s="140"/>
      <c r="I30" s="140"/>
      <c r="J30" s="140"/>
    </row>
    <row r="31" spans="1:10" ht="34" customHeight="1" x14ac:dyDescent="0.2">
      <c r="A31" s="183" t="s">
        <v>87</v>
      </c>
      <c r="B31" s="184"/>
      <c r="C31" s="184"/>
      <c r="D31" s="184"/>
      <c r="E31" s="184"/>
      <c r="F31" s="184"/>
      <c r="G31" s="184"/>
      <c r="H31" s="184"/>
      <c r="I31" s="184"/>
      <c r="J31" s="185"/>
    </row>
    <row r="32" spans="1:10" ht="99" customHeight="1" x14ac:dyDescent="0.2">
      <c r="A32" s="54" t="s">
        <v>53</v>
      </c>
      <c r="B32" s="55" t="s">
        <v>54</v>
      </c>
      <c r="C32" s="75">
        <v>0.1051</v>
      </c>
      <c r="D32" s="75">
        <v>0.1051</v>
      </c>
      <c r="E32" s="57" t="s">
        <v>55</v>
      </c>
      <c r="F32" s="58" t="s">
        <v>161</v>
      </c>
      <c r="G32" s="134" t="s">
        <v>72</v>
      </c>
      <c r="H32" s="134"/>
      <c r="I32" s="134"/>
      <c r="J32" s="135"/>
    </row>
    <row r="33" spans="1:10" ht="58" customHeight="1" x14ac:dyDescent="0.2">
      <c r="A33" s="76" t="s">
        <v>53</v>
      </c>
      <c r="B33" s="77" t="s">
        <v>56</v>
      </c>
      <c r="C33" s="78">
        <v>0</v>
      </c>
      <c r="D33" s="77"/>
      <c r="E33" s="79" t="s">
        <v>10</v>
      </c>
      <c r="F33" s="80" t="s">
        <v>162</v>
      </c>
      <c r="G33" s="150" t="s">
        <v>69</v>
      </c>
      <c r="H33" s="150"/>
      <c r="I33" s="150"/>
      <c r="J33" s="151"/>
    </row>
    <row r="34" spans="1:10" ht="91" customHeight="1" x14ac:dyDescent="0.2">
      <c r="A34" s="54" t="s">
        <v>53</v>
      </c>
      <c r="B34" s="55" t="s">
        <v>63</v>
      </c>
      <c r="C34" s="75">
        <v>0.12</v>
      </c>
      <c r="D34" s="75">
        <v>0.12</v>
      </c>
      <c r="E34" s="57" t="s">
        <v>13</v>
      </c>
      <c r="F34" s="58" t="s">
        <v>64</v>
      </c>
      <c r="G34" s="134" t="s">
        <v>163</v>
      </c>
      <c r="H34" s="134"/>
      <c r="I34" s="134"/>
      <c r="J34" s="135"/>
    </row>
    <row r="35" spans="1:10" ht="204" customHeight="1" x14ac:dyDescent="0.2">
      <c r="A35" s="54" t="s">
        <v>53</v>
      </c>
      <c r="B35" s="55" t="s">
        <v>57</v>
      </c>
      <c r="C35" s="75">
        <v>8.9999999999999993E-3</v>
      </c>
      <c r="D35" s="75">
        <v>8.9999999999999993E-3</v>
      </c>
      <c r="E35" s="57" t="s">
        <v>13</v>
      </c>
      <c r="F35" s="58" t="s">
        <v>164</v>
      </c>
      <c r="G35" s="134" t="s">
        <v>94</v>
      </c>
      <c r="H35" s="134"/>
      <c r="I35" s="134"/>
      <c r="J35" s="135"/>
    </row>
    <row r="36" spans="1:10" ht="189" x14ac:dyDescent="0.2">
      <c r="A36" s="81" t="s">
        <v>53</v>
      </c>
      <c r="B36" s="67" t="s">
        <v>58</v>
      </c>
      <c r="C36" s="67">
        <v>197.1</v>
      </c>
      <c r="D36" s="67">
        <v>197.1</v>
      </c>
      <c r="E36" s="68" t="s">
        <v>59</v>
      </c>
      <c r="F36" s="58" t="s">
        <v>165</v>
      </c>
      <c r="G36" s="134" t="s">
        <v>60</v>
      </c>
      <c r="H36" s="134"/>
      <c r="I36" s="134"/>
      <c r="J36" s="135"/>
    </row>
    <row r="37" spans="1:10" ht="116" customHeight="1" x14ac:dyDescent="0.2">
      <c r="A37" s="81" t="s">
        <v>53</v>
      </c>
      <c r="B37" s="67" t="s">
        <v>61</v>
      </c>
      <c r="C37" s="67">
        <v>725.3</v>
      </c>
      <c r="D37" s="67">
        <v>725.3</v>
      </c>
      <c r="E37" s="68" t="s">
        <v>36</v>
      </c>
      <c r="F37" s="58" t="s">
        <v>166</v>
      </c>
      <c r="G37" s="134" t="s">
        <v>62</v>
      </c>
      <c r="H37" s="134"/>
      <c r="I37" s="134"/>
      <c r="J37" s="135"/>
    </row>
    <row r="38" spans="1:10" ht="108" x14ac:dyDescent="0.2">
      <c r="A38" s="82" t="s">
        <v>53</v>
      </c>
      <c r="B38" s="72" t="s">
        <v>65</v>
      </c>
      <c r="C38" s="83">
        <v>1470</v>
      </c>
      <c r="D38" s="83">
        <v>1470</v>
      </c>
      <c r="E38" s="74" t="s">
        <v>66</v>
      </c>
      <c r="F38" s="65" t="s">
        <v>167</v>
      </c>
      <c r="G38" s="142" t="s">
        <v>67</v>
      </c>
      <c r="H38" s="142"/>
      <c r="I38" s="142"/>
      <c r="J38" s="143"/>
    </row>
    <row r="39" spans="1:10" ht="26" x14ac:dyDescent="0.2">
      <c r="A39" s="2"/>
      <c r="B39" s="2"/>
      <c r="C39" s="10"/>
      <c r="D39" s="10"/>
      <c r="E39" s="2"/>
      <c r="F39" s="2"/>
      <c r="G39" s="2"/>
      <c r="H39" s="2"/>
      <c r="I39" s="2"/>
      <c r="J39" s="2"/>
    </row>
    <row r="40" spans="1:10" ht="30" customHeight="1" x14ac:dyDescent="0.2">
      <c r="A40" s="147" t="s">
        <v>89</v>
      </c>
      <c r="B40" s="148"/>
      <c r="C40" s="148"/>
      <c r="D40" s="148"/>
      <c r="E40" s="148"/>
      <c r="F40" s="148"/>
      <c r="G40" s="148"/>
      <c r="H40" s="148"/>
      <c r="I40" s="148"/>
      <c r="J40" s="149"/>
    </row>
    <row r="41" spans="1:10" ht="84" customHeight="1" x14ac:dyDescent="0.2">
      <c r="A41" s="144" t="s">
        <v>169</v>
      </c>
      <c r="B41" s="145"/>
      <c r="C41" s="145"/>
      <c r="D41" s="145"/>
      <c r="E41" s="145"/>
      <c r="F41" s="145"/>
      <c r="G41" s="145"/>
      <c r="H41" s="145"/>
      <c r="I41" s="145"/>
      <c r="J41" s="146"/>
    </row>
    <row r="46" spans="1:10" ht="34" customHeight="1" x14ac:dyDescent="0.2"/>
    <row r="47" spans="1:10" ht="24" x14ac:dyDescent="0.3">
      <c r="A47" s="190"/>
      <c r="B47" s="190"/>
      <c r="C47" s="190"/>
      <c r="D47" s="190"/>
      <c r="E47" s="190"/>
      <c r="F47" s="190"/>
      <c r="G47" s="190"/>
      <c r="H47" s="191"/>
      <c r="I47" s="191"/>
      <c r="J47" s="191"/>
    </row>
  </sheetData>
  <mergeCells count="39">
    <mergeCell ref="A41:J41"/>
    <mergeCell ref="A40:J40"/>
    <mergeCell ref="A24:J24"/>
    <mergeCell ref="A17:J17"/>
    <mergeCell ref="A8:J8"/>
    <mergeCell ref="G13:J13"/>
    <mergeCell ref="G14:J14"/>
    <mergeCell ref="G15:J15"/>
    <mergeCell ref="G20:J20"/>
    <mergeCell ref="G21:J21"/>
    <mergeCell ref="G22:J22"/>
    <mergeCell ref="G37:J37"/>
    <mergeCell ref="G38:J38"/>
    <mergeCell ref="G33:J33"/>
    <mergeCell ref="G18:J18"/>
    <mergeCell ref="G19:J19"/>
    <mergeCell ref="G36:J36"/>
    <mergeCell ref="G34:J34"/>
    <mergeCell ref="G35:J35"/>
    <mergeCell ref="G3:J3"/>
    <mergeCell ref="G6:J6"/>
    <mergeCell ref="G7:J7"/>
    <mergeCell ref="G16:J16"/>
    <mergeCell ref="G23:J23"/>
    <mergeCell ref="G25:J25"/>
    <mergeCell ref="G26:J26"/>
    <mergeCell ref="G27:J27"/>
    <mergeCell ref="G28:J28"/>
    <mergeCell ref="G29:J29"/>
    <mergeCell ref="G32:J32"/>
    <mergeCell ref="G30:J30"/>
    <mergeCell ref="A31:J31"/>
    <mergeCell ref="A1:J1"/>
    <mergeCell ref="G5:J5"/>
    <mergeCell ref="G9:J9"/>
    <mergeCell ref="G10:J10"/>
    <mergeCell ref="G12:J12"/>
    <mergeCell ref="G11:J11"/>
    <mergeCell ref="A4:J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C91D-B6E8-6348-9B4B-105DAB6954C5}">
  <dimension ref="A1:I90"/>
  <sheetViews>
    <sheetView showGridLines="0" zoomScale="162" zoomScaleNormal="162" workbookViewId="0">
      <pane ySplit="3" topLeftCell="A41" activePane="bottomLeft" state="frozen"/>
      <selection pane="bottomLeft" activeCell="A46" sqref="A46:F46"/>
    </sheetView>
  </sheetViews>
  <sheetFormatPr baseColWidth="10" defaultRowHeight="16" x14ac:dyDescent="0.2"/>
  <cols>
    <col min="1" max="1" width="6.83203125" style="1" customWidth="1"/>
    <col min="2" max="2" width="37.83203125" style="1" customWidth="1"/>
    <col min="3" max="3" width="17.33203125" style="1" customWidth="1"/>
    <col min="4" max="4" width="19.1640625" style="1" customWidth="1"/>
    <col min="5" max="5" width="15" style="1" customWidth="1"/>
    <col min="6" max="6" width="16.6640625" style="1" customWidth="1"/>
    <col min="7" max="16384" width="10.83203125" style="1"/>
  </cols>
  <sheetData>
    <row r="1" spans="1:9" ht="26" x14ac:dyDescent="0.3">
      <c r="A1" s="153" t="s">
        <v>170</v>
      </c>
      <c r="B1" s="153"/>
      <c r="C1" s="153"/>
      <c r="D1" s="153"/>
      <c r="E1" s="153"/>
      <c r="F1" s="153"/>
    </row>
    <row r="2" spans="1:9" x14ac:dyDescent="0.2">
      <c r="A2" s="11"/>
      <c r="B2" s="11"/>
      <c r="C2" s="11"/>
      <c r="D2" s="11"/>
      <c r="E2" s="11"/>
      <c r="F2" s="11"/>
    </row>
    <row r="3" spans="1:9" x14ac:dyDescent="0.2">
      <c r="A3" s="13" t="s">
        <v>95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100</v>
      </c>
    </row>
    <row r="4" spans="1:9" x14ac:dyDescent="0.2">
      <c r="A4" s="154" t="s">
        <v>171</v>
      </c>
      <c r="B4" s="154"/>
      <c r="C4" s="154"/>
      <c r="D4" s="154"/>
      <c r="E4" s="154"/>
      <c r="F4" s="154"/>
    </row>
    <row r="5" spans="1:9" ht="20" x14ac:dyDescent="0.25">
      <c r="A5" s="14">
        <v>1.1000000000000001</v>
      </c>
      <c r="B5" s="16" t="s">
        <v>73</v>
      </c>
      <c r="C5" s="18">
        <f>Assumptions!C5</f>
        <v>45000000</v>
      </c>
      <c r="D5" s="26">
        <f>Assumptions!D5</f>
        <v>45000000</v>
      </c>
      <c r="E5" s="30">
        <f t="shared" ref="E5:E13" si="0">D5-C5</f>
        <v>0</v>
      </c>
      <c r="F5" s="31">
        <f>E5/C5</f>
        <v>0</v>
      </c>
      <c r="G5" s="37"/>
      <c r="H5" s="37"/>
      <c r="I5" s="37"/>
    </row>
    <row r="6" spans="1:9" ht="20" x14ac:dyDescent="0.25">
      <c r="A6" s="14">
        <v>1.2</v>
      </c>
      <c r="B6" s="15" t="s">
        <v>101</v>
      </c>
      <c r="C6" s="18">
        <f>C5*(1-Assumptions!C6)</f>
        <v>39825000</v>
      </c>
      <c r="D6" s="26">
        <f>C6 + (C6 * Assumptions!C20 * Assumptions!C22 * ((Assumptions!D19 + Assumptions!C18)/2 - Assumptions!C18) / Assumptions!C18)</f>
        <v>41972695.262597583</v>
      </c>
      <c r="E6" s="30">
        <f t="shared" si="0"/>
        <v>2147695.2625975832</v>
      </c>
      <c r="F6" s="32">
        <f>E6/C6</f>
        <v>5.392831795599707E-2</v>
      </c>
      <c r="G6" s="37"/>
      <c r="H6" s="37"/>
      <c r="I6" s="37"/>
    </row>
    <row r="7" spans="1:9" ht="20" x14ac:dyDescent="0.25">
      <c r="A7" s="14">
        <v>1.3</v>
      </c>
      <c r="B7" s="15" t="s">
        <v>75</v>
      </c>
      <c r="C7" s="18">
        <f>C5-C6</f>
        <v>5175000</v>
      </c>
      <c r="D7" s="26">
        <f>D5-D6</f>
        <v>3027304.7374024168</v>
      </c>
      <c r="E7" s="30">
        <f t="shared" si="0"/>
        <v>-2147695.2625975832</v>
      </c>
      <c r="F7" s="32">
        <f>E7/C7</f>
        <v>-0.41501357731354266</v>
      </c>
      <c r="G7" s="37"/>
      <c r="H7" s="37"/>
      <c r="I7" s="37"/>
    </row>
    <row r="8" spans="1:9" ht="20" x14ac:dyDescent="0.25">
      <c r="A8" s="14">
        <v>1.4</v>
      </c>
      <c r="B8" s="15" t="s">
        <v>76</v>
      </c>
      <c r="C8" s="19">
        <f>C7/C5</f>
        <v>0.115</v>
      </c>
      <c r="D8" s="27">
        <f>D7/D5</f>
        <v>6.7273438608942596E-2</v>
      </c>
      <c r="E8" s="30">
        <f t="shared" si="0"/>
        <v>-4.7726561391057409E-2</v>
      </c>
      <c r="F8" s="33"/>
      <c r="G8" s="37"/>
      <c r="H8" s="37"/>
      <c r="I8" s="37"/>
    </row>
    <row r="9" spans="1:9" ht="20" x14ac:dyDescent="0.25">
      <c r="A9" s="14">
        <v>1.5</v>
      </c>
      <c r="B9" s="16" t="s">
        <v>31</v>
      </c>
      <c r="C9" s="18">
        <f>SUM(Assumptions!C9:C15)+Assumptions!C34*SUM(Assumptions!C9:C11)</f>
        <v>3451600</v>
      </c>
      <c r="D9" s="26">
        <f>C9</f>
        <v>3451600</v>
      </c>
      <c r="E9" s="30">
        <f t="shared" si="0"/>
        <v>0</v>
      </c>
      <c r="F9" s="31">
        <f>E9/C9</f>
        <v>0</v>
      </c>
      <c r="G9" s="37"/>
      <c r="H9" s="37"/>
      <c r="I9" s="37"/>
    </row>
    <row r="10" spans="1:9" ht="20" x14ac:dyDescent="0.25">
      <c r="A10" s="14">
        <v>1.6</v>
      </c>
      <c r="B10" s="16" t="s">
        <v>32</v>
      </c>
      <c r="C10" s="18">
        <f>C7-C9</f>
        <v>1723400</v>
      </c>
      <c r="D10" s="26">
        <f>D7-D9</f>
        <v>-424295.26259758323</v>
      </c>
      <c r="E10" s="30">
        <f t="shared" si="0"/>
        <v>-2147695.2625975832</v>
      </c>
      <c r="F10" s="32">
        <f>E10/ABS(C10)</f>
        <v>-1.2461966244618679</v>
      </c>
      <c r="G10" s="37"/>
      <c r="H10" s="37"/>
      <c r="I10" s="37"/>
    </row>
    <row r="11" spans="1:9" ht="20" x14ac:dyDescent="0.25">
      <c r="A11" s="14">
        <v>1.7</v>
      </c>
      <c r="B11" s="15" t="s">
        <v>102</v>
      </c>
      <c r="C11" s="18">
        <f>Assumptions!C33</f>
        <v>0</v>
      </c>
      <c r="D11" s="26">
        <f>D32</f>
        <v>499330.02073332388</v>
      </c>
      <c r="E11" s="30">
        <f t="shared" si="0"/>
        <v>499330.02073332388</v>
      </c>
      <c r="F11" s="32">
        <f>E11/ABS(C10)</f>
        <v>0.28973541878456766</v>
      </c>
      <c r="G11" s="37"/>
      <c r="H11" s="37"/>
      <c r="I11" s="37"/>
    </row>
    <row r="12" spans="1:9" ht="20" x14ac:dyDescent="0.25">
      <c r="A12" s="14">
        <v>1.8</v>
      </c>
      <c r="B12" s="16" t="s">
        <v>33</v>
      </c>
      <c r="C12" s="18">
        <f>C10-C11</f>
        <v>1723400</v>
      </c>
      <c r="D12" s="26">
        <f>D10-D11</f>
        <v>-923625.28333090711</v>
      </c>
      <c r="E12" s="30">
        <f t="shared" si="0"/>
        <v>-2647025.2833309071</v>
      </c>
      <c r="F12" s="32">
        <f>E12/ABS(C12)</f>
        <v>-1.5359320432464356</v>
      </c>
      <c r="G12" s="37"/>
      <c r="H12" s="37"/>
      <c r="I12" s="37"/>
    </row>
    <row r="13" spans="1:9" x14ac:dyDescent="0.2">
      <c r="A13" s="14">
        <v>1.9</v>
      </c>
      <c r="B13" s="15" t="s">
        <v>78</v>
      </c>
      <c r="C13" s="19">
        <f>C12/C5</f>
        <v>3.8297777777777778E-2</v>
      </c>
      <c r="D13" s="27">
        <f>D12/D5</f>
        <v>-2.052500629624238E-2</v>
      </c>
      <c r="E13" s="32">
        <f t="shared" si="0"/>
        <v>-5.8822784074020154E-2</v>
      </c>
      <c r="F13" s="33"/>
    </row>
    <row r="15" spans="1:9" x14ac:dyDescent="0.2">
      <c r="A15" s="154" t="s">
        <v>103</v>
      </c>
      <c r="B15" s="154"/>
      <c r="C15" s="154"/>
      <c r="D15" s="154"/>
      <c r="E15" s="154"/>
      <c r="F15" s="154"/>
    </row>
    <row r="16" spans="1:9" x14ac:dyDescent="0.2">
      <c r="A16" s="14">
        <v>2.1</v>
      </c>
      <c r="B16" s="1" t="s">
        <v>44</v>
      </c>
      <c r="C16" s="20">
        <f>Assumptions!C25</f>
        <v>67</v>
      </c>
      <c r="D16" s="28">
        <f>Assumptions!D25</f>
        <v>67</v>
      </c>
      <c r="E16" s="34">
        <f>D16-C16</f>
        <v>0</v>
      </c>
      <c r="F16" s="33"/>
    </row>
    <row r="17" spans="1:6" x14ac:dyDescent="0.2">
      <c r="A17" s="14">
        <v>2.2000000000000002</v>
      </c>
      <c r="B17" s="1" t="s">
        <v>90</v>
      </c>
      <c r="C17" s="20">
        <f>Assumptions!C26</f>
        <v>45</v>
      </c>
      <c r="D17" s="28">
        <f>Assumptions!D27</f>
        <v>80</v>
      </c>
      <c r="E17" s="34">
        <f>D17-C17</f>
        <v>35</v>
      </c>
      <c r="F17" s="33"/>
    </row>
    <row r="18" spans="1:6" x14ac:dyDescent="0.2">
      <c r="A18" s="14">
        <v>2.2999999999999998</v>
      </c>
      <c r="B18" s="1" t="s">
        <v>91</v>
      </c>
      <c r="C18" s="20">
        <f>Assumptions!C28</f>
        <v>32</v>
      </c>
      <c r="D18" s="28">
        <f>Assumptions!D29</f>
        <v>30</v>
      </c>
      <c r="E18" s="35">
        <f>D18-C18</f>
        <v>-2</v>
      </c>
      <c r="F18" s="33"/>
    </row>
    <row r="19" spans="1:6" x14ac:dyDescent="0.2">
      <c r="A19" s="14">
        <v>2.4</v>
      </c>
      <c r="B19" s="1" t="s">
        <v>92</v>
      </c>
      <c r="C19" s="20">
        <f>C16+C17-C18</f>
        <v>80</v>
      </c>
      <c r="D19" s="28">
        <f>D16+D17-D18</f>
        <v>117</v>
      </c>
      <c r="E19" s="34">
        <f>D19-C19</f>
        <v>37</v>
      </c>
      <c r="F19" s="32">
        <f>E19/C19</f>
        <v>0.46250000000000002</v>
      </c>
    </row>
    <row r="20" spans="1:6" x14ac:dyDescent="0.2">
      <c r="A20" s="14">
        <v>2.5</v>
      </c>
      <c r="B20" s="1" t="s">
        <v>104</v>
      </c>
      <c r="C20" s="21"/>
      <c r="D20" s="29"/>
      <c r="E20" s="34">
        <f>D19-C19</f>
        <v>37</v>
      </c>
      <c r="F20" s="33"/>
    </row>
    <row r="21" spans="1:6" x14ac:dyDescent="0.2">
      <c r="C21" s="12"/>
    </row>
    <row r="22" spans="1:6" x14ac:dyDescent="0.2">
      <c r="A22" s="154" t="s">
        <v>105</v>
      </c>
      <c r="B22" s="154"/>
      <c r="C22" s="154"/>
      <c r="D22" s="154"/>
      <c r="E22" s="154"/>
      <c r="F22" s="154"/>
    </row>
    <row r="23" spans="1:6" x14ac:dyDescent="0.2">
      <c r="A23" s="14">
        <v>3.1</v>
      </c>
      <c r="B23" s="1" t="s">
        <v>79</v>
      </c>
      <c r="C23" s="18">
        <f>C6*C16/365</f>
        <v>7310342.4657534249</v>
      </c>
      <c r="D23" s="26">
        <f>D6*D16/365</f>
        <v>7704576.9386138031</v>
      </c>
      <c r="E23" s="36">
        <f>D23-C23</f>
        <v>394234.47286037821</v>
      </c>
      <c r="F23" s="32">
        <f>E23/C23</f>
        <v>5.3928317955997056E-2</v>
      </c>
    </row>
    <row r="24" spans="1:6" x14ac:dyDescent="0.2">
      <c r="A24" s="14">
        <v>3.2</v>
      </c>
      <c r="B24" s="1" t="s">
        <v>106</v>
      </c>
      <c r="C24" s="18">
        <f>C5*C17/365</f>
        <v>5547945.2054794524</v>
      </c>
      <c r="D24" s="26">
        <f>D5*D17/365</f>
        <v>9863013.6986301374</v>
      </c>
      <c r="E24" s="36">
        <f t="shared" ref="E24:E25" si="1">D24-C24</f>
        <v>4315068.493150685</v>
      </c>
      <c r="F24" s="32">
        <f t="shared" ref="F24:F25" si="2">E24/C24</f>
        <v>0.77777777777777779</v>
      </c>
    </row>
    <row r="25" spans="1:6" x14ac:dyDescent="0.2">
      <c r="A25" s="14">
        <v>3.3</v>
      </c>
      <c r="B25" s="1" t="s">
        <v>107</v>
      </c>
      <c r="C25" s="18">
        <f>C6*C18/365</f>
        <v>3491506.8493150687</v>
      </c>
      <c r="D25" s="26">
        <f>D6*D18/365</f>
        <v>3449810.5695285685</v>
      </c>
      <c r="E25" s="36">
        <f t="shared" si="1"/>
        <v>-41696.279786500148</v>
      </c>
      <c r="F25" s="32">
        <f t="shared" si="2"/>
        <v>-1.1942201916252788E-2</v>
      </c>
    </row>
    <row r="26" spans="1:6" x14ac:dyDescent="0.2">
      <c r="A26" s="14">
        <v>3.4</v>
      </c>
      <c r="B26" s="11" t="s">
        <v>93</v>
      </c>
      <c r="C26" s="18">
        <f>C23+C24-C25</f>
        <v>9366780.8219178095</v>
      </c>
      <c r="D26" s="26">
        <f>D23+D24-D25</f>
        <v>14117780.067715373</v>
      </c>
      <c r="E26" s="36">
        <f t="shared" ref="E26" si="3">D26-C26</f>
        <v>4750999.2457975633</v>
      </c>
      <c r="F26" s="32">
        <f t="shared" ref="F26" si="4">E26/C26</f>
        <v>0.50721793710390417</v>
      </c>
    </row>
    <row r="27" spans="1:6" x14ac:dyDescent="0.2">
      <c r="A27" s="14">
        <v>3.5</v>
      </c>
      <c r="B27" s="11" t="s">
        <v>52</v>
      </c>
      <c r="C27" s="18"/>
      <c r="D27" s="26">
        <f>D26-C26</f>
        <v>4750999.2457975633</v>
      </c>
      <c r="E27" s="36"/>
      <c r="F27" s="36"/>
    </row>
    <row r="29" spans="1:6" x14ac:dyDescent="0.2">
      <c r="A29" s="152" t="s">
        <v>173</v>
      </c>
      <c r="B29" s="152"/>
      <c r="C29" s="152"/>
      <c r="D29" s="152"/>
      <c r="E29" s="152"/>
      <c r="F29" s="152"/>
    </row>
    <row r="30" spans="1:6" x14ac:dyDescent="0.2">
      <c r="A30" s="14">
        <v>4.0999999999999996</v>
      </c>
      <c r="B30" s="1" t="s">
        <v>52</v>
      </c>
      <c r="C30" s="18"/>
      <c r="D30" s="26">
        <f>D27</f>
        <v>4750999.2457975633</v>
      </c>
      <c r="E30" s="33"/>
      <c r="F30" s="33"/>
    </row>
    <row r="31" spans="1:6" x14ac:dyDescent="0.2">
      <c r="A31" s="14">
        <v>4.2</v>
      </c>
      <c r="B31" s="1" t="s">
        <v>108</v>
      </c>
      <c r="C31" s="19">
        <f>Assumptions!C32</f>
        <v>0.1051</v>
      </c>
      <c r="D31" s="27">
        <f>Assumptions!D32</f>
        <v>0.1051</v>
      </c>
      <c r="E31" s="33"/>
      <c r="F31" s="33"/>
    </row>
    <row r="32" spans="1:6" x14ac:dyDescent="0.2">
      <c r="A32" s="14">
        <v>4.3</v>
      </c>
      <c r="B32" s="1" t="s">
        <v>109</v>
      </c>
      <c r="C32" s="18">
        <f>Assumptions!C33</f>
        <v>0</v>
      </c>
      <c r="D32" s="26">
        <f>D30*D31</f>
        <v>499330.02073332388</v>
      </c>
      <c r="E32" s="36">
        <f>D32-C32</f>
        <v>499330.02073332388</v>
      </c>
      <c r="F32" s="33"/>
    </row>
    <row r="33" spans="1:7" x14ac:dyDescent="0.2">
      <c r="A33" s="14">
        <v>4.4000000000000004</v>
      </c>
      <c r="B33" s="1" t="s">
        <v>82</v>
      </c>
      <c r="C33" s="22"/>
      <c r="D33" s="27">
        <f>D32/C12</f>
        <v>0.28973541878456766</v>
      </c>
      <c r="E33" s="33"/>
      <c r="F33" s="33"/>
    </row>
    <row r="34" spans="1:7" x14ac:dyDescent="0.2">
      <c r="A34" s="14">
        <v>4.5</v>
      </c>
      <c r="B34" s="1" t="s">
        <v>110</v>
      </c>
      <c r="C34" s="23"/>
      <c r="D34" s="27">
        <f>D32/ABS(D12-C12)</f>
        <v>0.18863817579595901</v>
      </c>
      <c r="E34" s="33"/>
      <c r="F34" s="33"/>
    </row>
    <row r="36" spans="1:7" x14ac:dyDescent="0.2">
      <c r="A36" s="152" t="s">
        <v>172</v>
      </c>
      <c r="B36" s="152"/>
      <c r="C36" s="152"/>
      <c r="D36" s="152"/>
      <c r="E36" s="152"/>
      <c r="F36" s="152"/>
    </row>
    <row r="37" spans="1:7" x14ac:dyDescent="0.2">
      <c r="A37" s="14">
        <v>5.0999999999999996</v>
      </c>
      <c r="B37" s="1" t="s">
        <v>83</v>
      </c>
      <c r="C37" s="18">
        <f>C12</f>
        <v>1723400</v>
      </c>
      <c r="D37" s="26"/>
      <c r="E37" s="33"/>
      <c r="F37" s="33"/>
    </row>
    <row r="38" spans="1:7" ht="34" x14ac:dyDescent="0.2">
      <c r="A38" s="25">
        <v>5.2</v>
      </c>
      <c r="B38" s="24" t="s">
        <v>111</v>
      </c>
      <c r="C38" s="18"/>
      <c r="D38" s="26">
        <f>D7-C7</f>
        <v>-2147695.2625975832</v>
      </c>
      <c r="E38" s="33"/>
      <c r="F38" s="32">
        <f>D38/ABS(C37)</f>
        <v>-1.2461966244618679</v>
      </c>
    </row>
    <row r="39" spans="1:7" x14ac:dyDescent="0.2">
      <c r="A39" s="14">
        <v>5.3</v>
      </c>
      <c r="B39" s="1" t="s">
        <v>112</v>
      </c>
      <c r="C39" s="18"/>
      <c r="D39" s="26">
        <f>-D32</f>
        <v>-499330.02073332388</v>
      </c>
      <c r="E39" s="33"/>
      <c r="F39" s="32">
        <f>D39/ABS(C37)</f>
        <v>-0.28973541878456766</v>
      </c>
    </row>
    <row r="40" spans="1:7" x14ac:dyDescent="0.2">
      <c r="A40" s="14">
        <v>5.4</v>
      </c>
      <c r="B40" s="1" t="s">
        <v>84</v>
      </c>
      <c r="C40" s="18">
        <f>C37+D38+D39</f>
        <v>-923625.28333090711</v>
      </c>
      <c r="D40" s="26"/>
      <c r="E40" s="33"/>
      <c r="F40" s="33"/>
    </row>
    <row r="41" spans="1:7" x14ac:dyDescent="0.2">
      <c r="A41" s="14">
        <v>5.5</v>
      </c>
      <c r="B41" s="1" t="s">
        <v>113</v>
      </c>
      <c r="C41" s="18"/>
      <c r="D41" s="26">
        <f>D40-C37</f>
        <v>-1723400</v>
      </c>
      <c r="E41" s="33"/>
      <c r="F41" s="33"/>
    </row>
    <row r="42" spans="1:7" x14ac:dyDescent="0.2">
      <c r="A42" s="14">
        <v>5.6</v>
      </c>
      <c r="B42" s="1" t="s">
        <v>114</v>
      </c>
      <c r="C42" s="23"/>
      <c r="D42" s="27">
        <f>D38/D41</f>
        <v>1.2461966244618679</v>
      </c>
      <c r="E42" s="33"/>
      <c r="F42" s="33"/>
    </row>
    <row r="43" spans="1:7" x14ac:dyDescent="0.2">
      <c r="A43" s="14">
        <v>5.7</v>
      </c>
      <c r="B43" s="1" t="s">
        <v>115</v>
      </c>
      <c r="C43" s="23"/>
      <c r="D43" s="27">
        <f>D39/D41</f>
        <v>0.28973541878456766</v>
      </c>
      <c r="E43" s="33"/>
      <c r="F43" s="33"/>
    </row>
    <row r="45" spans="1:7" x14ac:dyDescent="0.2">
      <c r="A45" s="152" t="s">
        <v>174</v>
      </c>
      <c r="B45" s="152"/>
      <c r="C45" s="152"/>
      <c r="D45" s="152"/>
      <c r="E45" s="152"/>
      <c r="F45" s="152"/>
    </row>
    <row r="46" spans="1:7" ht="56" customHeight="1" x14ac:dyDescent="0.2">
      <c r="A46" s="176" t="s">
        <v>175</v>
      </c>
      <c r="B46" s="176"/>
      <c r="C46" s="176"/>
      <c r="D46" s="176"/>
      <c r="E46" s="176"/>
      <c r="F46" s="176"/>
      <c r="G46" s="177"/>
    </row>
    <row r="55" spans="1:4" x14ac:dyDescent="0.2">
      <c r="A55" s="11"/>
      <c r="B55" s="11"/>
      <c r="C55" s="11"/>
      <c r="D55" s="11"/>
    </row>
    <row r="74" spans="1:4" x14ac:dyDescent="0.2">
      <c r="A74" s="11"/>
      <c r="B74" s="11"/>
      <c r="C74" s="11"/>
      <c r="D74" s="11"/>
    </row>
    <row r="75" spans="1:4" x14ac:dyDescent="0.2">
      <c r="B75" s="178"/>
      <c r="C75" s="178"/>
    </row>
    <row r="77" spans="1:4" x14ac:dyDescent="0.2">
      <c r="B77" s="12"/>
    </row>
    <row r="90" spans="1:3" x14ac:dyDescent="0.2">
      <c r="A90" s="11"/>
      <c r="B90" s="11"/>
      <c r="C90" s="11"/>
    </row>
  </sheetData>
  <mergeCells count="8">
    <mergeCell ref="A46:F46"/>
    <mergeCell ref="A29:F29"/>
    <mergeCell ref="A36:F36"/>
    <mergeCell ref="A45:F45"/>
    <mergeCell ref="A1:F1"/>
    <mergeCell ref="A4:F4"/>
    <mergeCell ref="A15:F15"/>
    <mergeCell ref="A22:F2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62E9-27A4-E440-9A76-A371D22CDEFC}">
  <dimension ref="A1:H45"/>
  <sheetViews>
    <sheetView showGridLines="0" zoomScale="125" zoomScaleNormal="125" workbookViewId="0">
      <pane ySplit="10" topLeftCell="A40" activePane="bottomLeft" state="frozen"/>
      <selection pane="bottomLeft" activeCell="A45" sqref="A45:G45"/>
    </sheetView>
  </sheetViews>
  <sheetFormatPr baseColWidth="10" defaultRowHeight="16" x14ac:dyDescent="0.2"/>
  <cols>
    <col min="1" max="1" width="7.6640625" style="1" customWidth="1"/>
    <col min="2" max="2" width="35.83203125" style="1" customWidth="1"/>
    <col min="3" max="3" width="19.83203125" style="1" customWidth="1"/>
    <col min="4" max="4" width="21.33203125" style="1" customWidth="1"/>
    <col min="5" max="5" width="20.1640625" style="1" customWidth="1"/>
    <col min="6" max="6" width="18.33203125" style="1" customWidth="1"/>
    <col min="7" max="7" width="22.33203125" style="1" customWidth="1"/>
    <col min="8" max="16384" width="10.83203125" style="1"/>
  </cols>
  <sheetData>
    <row r="1" spans="1:8" ht="26" x14ac:dyDescent="0.3">
      <c r="A1" s="155" t="s">
        <v>143</v>
      </c>
      <c r="B1" s="155"/>
      <c r="C1" s="155"/>
      <c r="D1" s="155"/>
      <c r="E1" s="155"/>
      <c r="F1" s="155"/>
      <c r="G1" s="155"/>
      <c r="H1" s="37"/>
    </row>
    <row r="2" spans="1:8" ht="20" x14ac:dyDescent="0.25">
      <c r="A2" s="37"/>
      <c r="B2" s="37"/>
      <c r="C2" s="38"/>
      <c r="D2" s="38"/>
      <c r="E2" s="37"/>
      <c r="F2" s="37"/>
      <c r="G2" s="37"/>
      <c r="H2" s="37"/>
    </row>
    <row r="3" spans="1:8" ht="20" x14ac:dyDescent="0.25">
      <c r="A3" s="158" t="s">
        <v>119</v>
      </c>
      <c r="B3" s="158"/>
      <c r="C3" s="158"/>
      <c r="D3" s="158"/>
      <c r="E3" s="158"/>
      <c r="F3" s="158"/>
      <c r="G3" s="158"/>
      <c r="H3" s="37"/>
    </row>
    <row r="4" spans="1:8" ht="20" x14ac:dyDescent="0.25">
      <c r="A4" s="156" t="s">
        <v>120</v>
      </c>
      <c r="B4" s="156"/>
      <c r="C4" s="49">
        <v>60</v>
      </c>
      <c r="D4" s="156" t="s">
        <v>121</v>
      </c>
      <c r="E4" s="156"/>
      <c r="F4" s="156"/>
      <c r="G4" s="156"/>
      <c r="H4" s="37"/>
    </row>
    <row r="5" spans="1:8" ht="20" x14ac:dyDescent="0.25">
      <c r="A5" s="156" t="s">
        <v>122</v>
      </c>
      <c r="B5" s="156"/>
      <c r="C5" s="50">
        <v>1.4999999999999999E-2</v>
      </c>
      <c r="D5" s="156" t="s">
        <v>123</v>
      </c>
      <c r="E5" s="156"/>
      <c r="F5" s="156"/>
      <c r="G5" s="156"/>
      <c r="H5" s="37"/>
    </row>
    <row r="6" spans="1:8" ht="20" x14ac:dyDescent="0.25">
      <c r="A6" s="156" t="s">
        <v>124</v>
      </c>
      <c r="B6" s="156"/>
      <c r="C6" s="51">
        <v>0.3</v>
      </c>
      <c r="D6" s="156" t="s">
        <v>125</v>
      </c>
      <c r="E6" s="156"/>
      <c r="F6" s="156"/>
      <c r="G6" s="156"/>
      <c r="H6" s="37"/>
    </row>
    <row r="7" spans="1:8" ht="20" x14ac:dyDescent="0.25">
      <c r="A7" s="156" t="s">
        <v>126</v>
      </c>
      <c r="B7" s="156"/>
      <c r="C7" s="49">
        <v>57</v>
      </c>
      <c r="D7" s="156" t="s">
        <v>127</v>
      </c>
      <c r="E7" s="156"/>
      <c r="F7" s="156"/>
      <c r="G7" s="156"/>
      <c r="H7" s="37"/>
    </row>
    <row r="8" spans="1:8" ht="20" x14ac:dyDescent="0.25">
      <c r="A8" s="156" t="s">
        <v>128</v>
      </c>
      <c r="B8" s="156"/>
      <c r="C8" s="49">
        <v>35</v>
      </c>
      <c r="D8" s="156" t="s">
        <v>129</v>
      </c>
      <c r="E8" s="156"/>
      <c r="F8" s="156"/>
      <c r="G8" s="156"/>
      <c r="H8" s="37"/>
    </row>
    <row r="9" spans="1:8" ht="21" x14ac:dyDescent="0.25">
      <c r="A9" s="43"/>
      <c r="B9" s="43"/>
      <c r="C9" s="44"/>
      <c r="D9" s="43"/>
      <c r="E9" s="43"/>
      <c r="F9" s="43"/>
      <c r="G9" s="43"/>
      <c r="H9" s="37"/>
    </row>
    <row r="10" spans="1:8" ht="39" customHeight="1" x14ac:dyDescent="0.25">
      <c r="A10" s="48" t="s">
        <v>95</v>
      </c>
      <c r="B10" s="48" t="s">
        <v>96</v>
      </c>
      <c r="C10" s="48" t="s">
        <v>97</v>
      </c>
      <c r="D10" s="48" t="s">
        <v>98</v>
      </c>
      <c r="E10" s="48" t="s">
        <v>116</v>
      </c>
      <c r="F10" s="47" t="s">
        <v>117</v>
      </c>
      <c r="G10" s="47" t="s">
        <v>118</v>
      </c>
      <c r="H10" s="37"/>
    </row>
    <row r="11" spans="1:8" ht="20" x14ac:dyDescent="0.25">
      <c r="A11" s="165" t="s">
        <v>146</v>
      </c>
      <c r="B11" s="166"/>
      <c r="C11" s="166"/>
      <c r="D11" s="166"/>
      <c r="E11" s="166"/>
      <c r="F11" s="166"/>
      <c r="G11" s="167"/>
      <c r="H11" s="37"/>
    </row>
    <row r="12" spans="1:8" ht="20" x14ac:dyDescent="0.25">
      <c r="A12" s="93">
        <v>1.1000000000000001</v>
      </c>
      <c r="B12" s="94" t="s">
        <v>73</v>
      </c>
      <c r="C12" s="95">
        <f>Assumptions!C5</f>
        <v>45000000</v>
      </c>
      <c r="D12" s="96">
        <f>Assumptions!D5</f>
        <v>45000000</v>
      </c>
      <c r="E12" s="97">
        <f>Assumptions!C5</f>
        <v>45000000</v>
      </c>
      <c r="F12" s="98">
        <f>D12-C12</f>
        <v>0</v>
      </c>
      <c r="G12" s="99">
        <f>E12-C12</f>
        <v>0</v>
      </c>
      <c r="H12" s="37"/>
    </row>
    <row r="13" spans="1:8" ht="20" x14ac:dyDescent="0.25">
      <c r="A13" s="93">
        <v>1.2</v>
      </c>
      <c r="B13" s="94" t="s">
        <v>74</v>
      </c>
      <c r="C13" s="95">
        <f>CCC_Model!C6</f>
        <v>39825000</v>
      </c>
      <c r="D13" s="96">
        <f>CCC_Model!D6</f>
        <v>41972695.262597583</v>
      </c>
      <c r="E13" s="97">
        <f>D13</f>
        <v>41972695.262597583</v>
      </c>
      <c r="F13" s="98">
        <f>D13-C13</f>
        <v>2147695.2625975832</v>
      </c>
      <c r="G13" s="99">
        <f>E13-C13</f>
        <v>2147695.2625975832</v>
      </c>
      <c r="H13" s="37"/>
    </row>
    <row r="14" spans="1:8" ht="20" x14ac:dyDescent="0.25">
      <c r="A14" s="93">
        <v>1.3</v>
      </c>
      <c r="B14" s="94" t="s">
        <v>75</v>
      </c>
      <c r="C14" s="95">
        <f>C12-C13</f>
        <v>5175000</v>
      </c>
      <c r="D14" s="96">
        <f>D12-D13</f>
        <v>3027304.7374024168</v>
      </c>
      <c r="E14" s="97">
        <f>E12-E13</f>
        <v>3027304.7374024168</v>
      </c>
      <c r="F14" s="98">
        <f>D14-C14</f>
        <v>-2147695.2625975832</v>
      </c>
      <c r="G14" s="99">
        <f>E14-C14</f>
        <v>-2147695.2625975832</v>
      </c>
      <c r="H14" s="37"/>
    </row>
    <row r="15" spans="1:8" ht="20" x14ac:dyDescent="0.25">
      <c r="A15" s="93">
        <v>1.4</v>
      </c>
      <c r="B15" s="94" t="s">
        <v>76</v>
      </c>
      <c r="C15" s="100">
        <f>C14/C12</f>
        <v>0.115</v>
      </c>
      <c r="D15" s="101">
        <f>D14/D12</f>
        <v>6.7273438608942596E-2</v>
      </c>
      <c r="E15" s="102">
        <f>D14/D12</f>
        <v>6.7273438608942596E-2</v>
      </c>
      <c r="F15" s="103">
        <f>D15-C15</f>
        <v>-4.7726561391057409E-2</v>
      </c>
      <c r="G15" s="104">
        <f>E15-C15</f>
        <v>-4.7726561391057409E-2</v>
      </c>
      <c r="H15" s="37"/>
    </row>
    <row r="16" spans="1:8" ht="20" x14ac:dyDescent="0.25">
      <c r="A16" s="93">
        <v>1.5</v>
      </c>
      <c r="B16" s="94" t="s">
        <v>31</v>
      </c>
      <c r="C16" s="95">
        <f>CCC_Model!C9</f>
        <v>3451600</v>
      </c>
      <c r="D16" s="96">
        <f>CCC_Model!D9</f>
        <v>3451600</v>
      </c>
      <c r="E16" s="97">
        <f>C16</f>
        <v>3451600</v>
      </c>
      <c r="F16" s="105"/>
      <c r="G16" s="106"/>
      <c r="H16" s="37"/>
    </row>
    <row r="17" spans="1:8" ht="20" x14ac:dyDescent="0.25">
      <c r="A17" s="93">
        <v>1.6</v>
      </c>
      <c r="B17" s="94" t="s">
        <v>77</v>
      </c>
      <c r="C17" s="95">
        <f>C14-C16</f>
        <v>1723400</v>
      </c>
      <c r="D17" s="96">
        <f>D14-D16</f>
        <v>-424295.26259758323</v>
      </c>
      <c r="E17" s="97">
        <f>E14-E16</f>
        <v>-424295.26259758323</v>
      </c>
      <c r="F17" s="105"/>
      <c r="G17" s="106"/>
      <c r="H17" s="37"/>
    </row>
    <row r="18" spans="1:8" ht="20" x14ac:dyDescent="0.25">
      <c r="A18" s="93">
        <v>1.7</v>
      </c>
      <c r="B18" s="94" t="s">
        <v>130</v>
      </c>
      <c r="C18" s="107">
        <f>0</f>
        <v>0</v>
      </c>
      <c r="D18" s="108">
        <v>0</v>
      </c>
      <c r="E18" s="97">
        <f>(E12*C4/365) * C5 * C6</f>
        <v>33287.67123287671</v>
      </c>
      <c r="F18" s="105"/>
      <c r="G18" s="106"/>
      <c r="H18" s="37"/>
    </row>
    <row r="19" spans="1:8" ht="20" x14ac:dyDescent="0.25">
      <c r="A19" s="93">
        <v>1.8</v>
      </c>
      <c r="B19" s="94" t="s">
        <v>102</v>
      </c>
      <c r="C19" s="95">
        <f>Assumptions!C33</f>
        <v>0</v>
      </c>
      <c r="D19" s="96">
        <f>CCC_Model!D32</f>
        <v>499330.02073332388</v>
      </c>
      <c r="E19" s="109">
        <f>(((Assumptions!C5 * C4/365)+(C13*C7/365)-(C13*C8/365)) - CCC_Model!C26)*Assumptions!C32</f>
        <v>45286.582191780893</v>
      </c>
      <c r="F19" s="105"/>
      <c r="G19" s="106"/>
      <c r="H19" s="37"/>
    </row>
    <row r="20" spans="1:8" ht="20" x14ac:dyDescent="0.25">
      <c r="A20" s="93">
        <v>1.9</v>
      </c>
      <c r="B20" s="94" t="s">
        <v>33</v>
      </c>
      <c r="C20" s="110">
        <f>C17-C18-C19</f>
        <v>1723400</v>
      </c>
      <c r="D20" s="111">
        <f>D17-D18-D19</f>
        <v>-923625.28333090711</v>
      </c>
      <c r="E20" s="112">
        <f>E17-E18-E19</f>
        <v>-502869.51602224086</v>
      </c>
      <c r="F20" s="113">
        <f>D20-C20</f>
        <v>-2647025.2833309071</v>
      </c>
      <c r="G20" s="114">
        <f>E20-C20</f>
        <v>-2226269.5160222407</v>
      </c>
      <c r="H20" s="37"/>
    </row>
    <row r="21" spans="1:8" ht="20" x14ac:dyDescent="0.25">
      <c r="A21" s="115">
        <v>1.1000000000000001</v>
      </c>
      <c r="B21" s="116" t="s">
        <v>78</v>
      </c>
      <c r="C21" s="117">
        <f>C20/C12</f>
        <v>3.8297777777777778E-2</v>
      </c>
      <c r="D21" s="118">
        <f>D20/D12</f>
        <v>-2.052500629624238E-2</v>
      </c>
      <c r="E21" s="119">
        <f>E20/E12</f>
        <v>-1.1174878133827575E-2</v>
      </c>
      <c r="F21" s="120">
        <f>D21-C21</f>
        <v>-5.8822784074020154E-2</v>
      </c>
      <c r="G21" s="121">
        <f>E21-C21</f>
        <v>-4.9472655911605351E-2</v>
      </c>
      <c r="H21" s="37"/>
    </row>
    <row r="22" spans="1:8" ht="20" x14ac:dyDescent="0.25">
      <c r="A22" s="39"/>
      <c r="B22" s="41"/>
      <c r="C22" s="41"/>
      <c r="D22" s="41"/>
      <c r="E22" s="41"/>
      <c r="F22" s="42"/>
      <c r="G22" s="42"/>
      <c r="H22" s="37"/>
    </row>
    <row r="23" spans="1:8" ht="20" x14ac:dyDescent="0.25">
      <c r="A23" s="159" t="s">
        <v>145</v>
      </c>
      <c r="B23" s="160"/>
      <c r="C23" s="160"/>
      <c r="D23" s="160"/>
      <c r="E23" s="160"/>
      <c r="F23" s="160"/>
      <c r="G23" s="161"/>
      <c r="H23" s="37"/>
    </row>
    <row r="24" spans="1:8" ht="20" x14ac:dyDescent="0.25">
      <c r="A24" s="93">
        <v>2.1</v>
      </c>
      <c r="B24" s="94" t="s">
        <v>44</v>
      </c>
      <c r="C24" s="95">
        <f>Assumptions!C25</f>
        <v>67</v>
      </c>
      <c r="D24" s="96">
        <f>Assumptions!D25</f>
        <v>67</v>
      </c>
      <c r="E24" s="97">
        <f>C7</f>
        <v>57</v>
      </c>
      <c r="F24" s="98">
        <f t="shared" ref="F24:F26" si="0">D24-C24</f>
        <v>0</v>
      </c>
      <c r="G24" s="99">
        <f t="shared" ref="G24:G26" si="1">E24-C24</f>
        <v>-10</v>
      </c>
      <c r="H24" s="37"/>
    </row>
    <row r="25" spans="1:8" ht="20" x14ac:dyDescent="0.25">
      <c r="A25" s="93">
        <f>A24+0.1</f>
        <v>2.2000000000000002</v>
      </c>
      <c r="B25" s="94" t="s">
        <v>90</v>
      </c>
      <c r="C25" s="95">
        <f>Assumptions!C26</f>
        <v>45</v>
      </c>
      <c r="D25" s="96">
        <f>Assumptions!D27</f>
        <v>80</v>
      </c>
      <c r="E25" s="97">
        <f>C4</f>
        <v>60</v>
      </c>
      <c r="F25" s="98">
        <f t="shared" si="0"/>
        <v>35</v>
      </c>
      <c r="G25" s="99">
        <f t="shared" si="1"/>
        <v>15</v>
      </c>
      <c r="H25" s="37"/>
    </row>
    <row r="26" spans="1:8" ht="20" x14ac:dyDescent="0.25">
      <c r="A26" s="93">
        <f t="shared" ref="A26:A32" si="2">A25+0.1</f>
        <v>2.3000000000000003</v>
      </c>
      <c r="B26" s="94" t="s">
        <v>91</v>
      </c>
      <c r="C26" s="95">
        <f>Assumptions!C28</f>
        <v>32</v>
      </c>
      <c r="D26" s="96">
        <f>Assumptions!D29</f>
        <v>30</v>
      </c>
      <c r="E26" s="97">
        <f>C8</f>
        <v>35</v>
      </c>
      <c r="F26" s="98">
        <f t="shared" si="0"/>
        <v>-2</v>
      </c>
      <c r="G26" s="99">
        <f t="shared" si="1"/>
        <v>3</v>
      </c>
      <c r="H26" s="37"/>
    </row>
    <row r="27" spans="1:8" ht="20" x14ac:dyDescent="0.25">
      <c r="A27" s="93">
        <f t="shared" si="2"/>
        <v>2.4000000000000004</v>
      </c>
      <c r="B27" s="94" t="s">
        <v>92</v>
      </c>
      <c r="C27" s="95">
        <f>C24+C25-C26</f>
        <v>80</v>
      </c>
      <c r="D27" s="96">
        <f t="shared" ref="D27:E27" si="3">D24+D25-D26</f>
        <v>117</v>
      </c>
      <c r="E27" s="97">
        <f t="shared" si="3"/>
        <v>82</v>
      </c>
      <c r="F27" s="98">
        <f>D27-C27</f>
        <v>37</v>
      </c>
      <c r="G27" s="99">
        <f>E27-C27</f>
        <v>2</v>
      </c>
      <c r="H27" s="37"/>
    </row>
    <row r="28" spans="1:8" ht="20" x14ac:dyDescent="0.25">
      <c r="A28" s="93">
        <f t="shared" si="2"/>
        <v>2.5000000000000004</v>
      </c>
      <c r="B28" s="94" t="s">
        <v>79</v>
      </c>
      <c r="C28" s="95">
        <f>CCC_Model!C23</f>
        <v>7310342.4657534249</v>
      </c>
      <c r="D28" s="96">
        <f>CCC_Model!D23</f>
        <v>7704576.9386138031</v>
      </c>
      <c r="E28" s="97">
        <f>E13*E24/365</f>
        <v>6554640.0821042806</v>
      </c>
      <c r="F28" s="105"/>
      <c r="G28" s="106"/>
      <c r="H28" s="37"/>
    </row>
    <row r="29" spans="1:8" ht="20" x14ac:dyDescent="0.25">
      <c r="A29" s="93">
        <f t="shared" si="2"/>
        <v>2.6000000000000005</v>
      </c>
      <c r="B29" s="94" t="s">
        <v>80</v>
      </c>
      <c r="C29" s="95">
        <f>CCC_Model!C24</f>
        <v>5547945.2054794524</v>
      </c>
      <c r="D29" s="96">
        <f>CCC_Model!D24</f>
        <v>9863013.6986301374</v>
      </c>
      <c r="E29" s="97">
        <f>E12*E25/365</f>
        <v>7397260.2739726026</v>
      </c>
      <c r="F29" s="105"/>
      <c r="G29" s="106"/>
      <c r="H29" s="37"/>
    </row>
    <row r="30" spans="1:8" ht="20" x14ac:dyDescent="0.25">
      <c r="A30" s="93">
        <f t="shared" si="2"/>
        <v>2.7000000000000006</v>
      </c>
      <c r="B30" s="94" t="s">
        <v>81</v>
      </c>
      <c r="C30" s="95">
        <f>CCC_Model!C25</f>
        <v>3491506.8493150687</v>
      </c>
      <c r="D30" s="96">
        <f>CCC_Model!D25</f>
        <v>3449810.5695285685</v>
      </c>
      <c r="E30" s="97">
        <f>E13*E26/365</f>
        <v>4024778.9977833298</v>
      </c>
      <c r="F30" s="105"/>
      <c r="G30" s="106"/>
      <c r="H30" s="37"/>
    </row>
    <row r="31" spans="1:8" ht="20" x14ac:dyDescent="0.25">
      <c r="A31" s="93">
        <f t="shared" si="2"/>
        <v>2.8000000000000007</v>
      </c>
      <c r="B31" s="94" t="s">
        <v>93</v>
      </c>
      <c r="C31" s="95">
        <f>CCC_Model!C26</f>
        <v>9366780.8219178095</v>
      </c>
      <c r="D31" s="96">
        <f>CCC_Model!D26</f>
        <v>14117780.067715373</v>
      </c>
      <c r="E31" s="97">
        <f>E28+E29-E30</f>
        <v>9927121.3582935538</v>
      </c>
      <c r="F31" s="105"/>
      <c r="G31" s="106"/>
      <c r="H31" s="37"/>
    </row>
    <row r="32" spans="1:8" ht="19" x14ac:dyDescent="0.25">
      <c r="A32" s="122">
        <f t="shared" si="2"/>
        <v>2.9000000000000008</v>
      </c>
      <c r="B32" s="116" t="s">
        <v>131</v>
      </c>
      <c r="C32" s="123"/>
      <c r="D32" s="124">
        <f>D31-C31</f>
        <v>4750999.2457975633</v>
      </c>
      <c r="E32" s="125">
        <f>E31-C31</f>
        <v>560340.53637574427</v>
      </c>
      <c r="F32" s="126"/>
      <c r="G32" s="127">
        <f>E32-D32</f>
        <v>-4190658.7094218191</v>
      </c>
    </row>
    <row r="33" spans="1:8" ht="19" x14ac:dyDescent="0.25">
      <c r="A33" s="39"/>
      <c r="B33" s="41"/>
      <c r="C33" s="39"/>
      <c r="D33" s="41"/>
      <c r="E33" s="41"/>
      <c r="F33" s="41"/>
      <c r="G33" s="41"/>
    </row>
    <row r="34" spans="1:8" ht="20" x14ac:dyDescent="0.25">
      <c r="A34" s="162" t="s">
        <v>144</v>
      </c>
      <c r="B34" s="163"/>
      <c r="C34" s="163"/>
      <c r="D34" s="163"/>
      <c r="E34" s="163"/>
      <c r="F34" s="163"/>
      <c r="G34" s="164"/>
      <c r="H34" s="37"/>
    </row>
    <row r="35" spans="1:8" ht="20" x14ac:dyDescent="0.25">
      <c r="A35" s="93">
        <v>3.1</v>
      </c>
      <c r="B35" s="94" t="s">
        <v>33</v>
      </c>
      <c r="C35" s="95">
        <f t="shared" ref="C35:E36" si="4">C20</f>
        <v>1723400</v>
      </c>
      <c r="D35" s="96">
        <f t="shared" si="4"/>
        <v>-923625.28333090711</v>
      </c>
      <c r="E35" s="97">
        <f t="shared" si="4"/>
        <v>-502869.51602224086</v>
      </c>
      <c r="F35" s="105"/>
      <c r="G35" s="106"/>
      <c r="H35" s="37"/>
    </row>
    <row r="36" spans="1:8" ht="20" x14ac:dyDescent="0.25">
      <c r="A36" s="93">
        <f>A35+0.1</f>
        <v>3.2</v>
      </c>
      <c r="B36" s="94" t="s">
        <v>78</v>
      </c>
      <c r="C36" s="100">
        <f t="shared" si="4"/>
        <v>3.8297777777777778E-2</v>
      </c>
      <c r="D36" s="101">
        <f t="shared" si="4"/>
        <v>-2.052500629624238E-2</v>
      </c>
      <c r="E36" s="102">
        <f t="shared" si="4"/>
        <v>-1.1174878133827575E-2</v>
      </c>
      <c r="F36" s="105"/>
      <c r="G36" s="106"/>
      <c r="H36" s="37"/>
    </row>
    <row r="37" spans="1:8" ht="20" x14ac:dyDescent="0.25">
      <c r="A37" s="93">
        <f t="shared" ref="A37:A42" si="5">A36+0.1</f>
        <v>3.3000000000000003</v>
      </c>
      <c r="B37" s="94" t="s">
        <v>132</v>
      </c>
      <c r="C37" s="95">
        <f>C27</f>
        <v>80</v>
      </c>
      <c r="D37" s="96">
        <f t="shared" ref="D37:E37" si="6">D27</f>
        <v>117</v>
      </c>
      <c r="E37" s="97">
        <f t="shared" si="6"/>
        <v>82</v>
      </c>
      <c r="F37" s="105"/>
      <c r="G37" s="106"/>
      <c r="H37" s="37"/>
    </row>
    <row r="38" spans="1:8" ht="20" x14ac:dyDescent="0.25">
      <c r="A38" s="93">
        <f t="shared" si="5"/>
        <v>3.4000000000000004</v>
      </c>
      <c r="B38" s="94" t="s">
        <v>133</v>
      </c>
      <c r="C38" s="95">
        <f>C31</f>
        <v>9366780.8219178095</v>
      </c>
      <c r="D38" s="96">
        <f t="shared" ref="D38:E38" si="7">D31</f>
        <v>14117780.067715373</v>
      </c>
      <c r="E38" s="97">
        <f t="shared" si="7"/>
        <v>9927121.3582935538</v>
      </c>
      <c r="F38" s="105"/>
      <c r="G38" s="106"/>
      <c r="H38" s="37"/>
    </row>
    <row r="39" spans="1:8" ht="20" x14ac:dyDescent="0.25">
      <c r="A39" s="93">
        <f t="shared" si="5"/>
        <v>3.5000000000000004</v>
      </c>
      <c r="B39" s="94" t="s">
        <v>102</v>
      </c>
      <c r="C39" s="95">
        <f>C19</f>
        <v>0</v>
      </c>
      <c r="D39" s="96">
        <f t="shared" ref="D39" si="8">D19</f>
        <v>499330.02073332388</v>
      </c>
      <c r="E39" s="97">
        <f>E19</f>
        <v>45286.582191780893</v>
      </c>
      <c r="F39" s="105"/>
      <c r="G39" s="106"/>
      <c r="H39" s="37"/>
    </row>
    <row r="40" spans="1:8" ht="20" x14ac:dyDescent="0.25">
      <c r="A40" s="93">
        <f t="shared" si="5"/>
        <v>3.6000000000000005</v>
      </c>
      <c r="B40" s="94" t="s">
        <v>134</v>
      </c>
      <c r="C40" s="107"/>
      <c r="D40" s="96">
        <f>D35-C35</f>
        <v>-2647025.2833309071</v>
      </c>
      <c r="E40" s="97">
        <f>E35-C35</f>
        <v>-2226269.5160222407</v>
      </c>
      <c r="F40" s="105"/>
      <c r="G40" s="99">
        <f>E40-D40</f>
        <v>420755.76730866637</v>
      </c>
      <c r="H40" s="37"/>
    </row>
    <row r="41" spans="1:8" ht="20" x14ac:dyDescent="0.25">
      <c r="A41" s="93">
        <f t="shared" si="5"/>
        <v>3.7000000000000006</v>
      </c>
      <c r="B41" s="94" t="s">
        <v>135</v>
      </c>
      <c r="C41" s="107"/>
      <c r="D41" s="108"/>
      <c r="E41" s="97">
        <f>E35-D35</f>
        <v>420755.76730866625</v>
      </c>
      <c r="F41" s="105"/>
      <c r="G41" s="106"/>
      <c r="H41" s="37"/>
    </row>
    <row r="42" spans="1:8" ht="40" x14ac:dyDescent="0.25">
      <c r="A42" s="128">
        <f t="shared" si="5"/>
        <v>3.8000000000000007</v>
      </c>
      <c r="B42" s="129" t="s">
        <v>136</v>
      </c>
      <c r="C42" s="123"/>
      <c r="D42" s="130"/>
      <c r="E42" s="119">
        <f>E41/ABS(D35)</f>
        <v>0.45554812639090797</v>
      </c>
      <c r="F42" s="131"/>
      <c r="G42" s="132"/>
      <c r="H42" s="37"/>
    </row>
    <row r="43" spans="1:8" ht="20" x14ac:dyDescent="0.25">
      <c r="A43" s="37"/>
      <c r="B43" s="37"/>
      <c r="C43" s="179"/>
      <c r="D43" s="180"/>
      <c r="E43" s="37"/>
      <c r="F43" s="37"/>
      <c r="G43" s="37"/>
      <c r="H43" s="37"/>
    </row>
    <row r="44" spans="1:8" ht="20" x14ac:dyDescent="0.25">
      <c r="A44" s="168" t="s">
        <v>174</v>
      </c>
      <c r="B44" s="169"/>
      <c r="C44" s="169"/>
      <c r="D44" s="169"/>
      <c r="E44" s="169"/>
      <c r="F44" s="169"/>
      <c r="G44" s="170"/>
      <c r="H44" s="37"/>
    </row>
    <row r="45" spans="1:8" ht="68" customHeight="1" x14ac:dyDescent="0.25">
      <c r="A45" s="157" t="s">
        <v>176</v>
      </c>
      <c r="B45" s="181"/>
      <c r="C45" s="181"/>
      <c r="D45" s="181"/>
      <c r="E45" s="181"/>
      <c r="F45" s="181"/>
      <c r="G45" s="182"/>
      <c r="H45" s="37"/>
    </row>
  </sheetData>
  <mergeCells count="17">
    <mergeCell ref="A45:G45"/>
    <mergeCell ref="A4:B4"/>
    <mergeCell ref="A5:B5"/>
    <mergeCell ref="A3:G3"/>
    <mergeCell ref="A23:G23"/>
    <mergeCell ref="A34:G34"/>
    <mergeCell ref="D8:G8"/>
    <mergeCell ref="A6:B6"/>
    <mergeCell ref="A7:B7"/>
    <mergeCell ref="A8:B8"/>
    <mergeCell ref="A11:G11"/>
    <mergeCell ref="A44:G44"/>
    <mergeCell ref="A1:G1"/>
    <mergeCell ref="D4:G4"/>
    <mergeCell ref="D5:G5"/>
    <mergeCell ref="D6:G6"/>
    <mergeCell ref="D7:G7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6AD-9DE1-7E43-A896-71FCACC47EBB}">
  <dimension ref="A1:L21"/>
  <sheetViews>
    <sheetView showGridLines="0" zoomScale="114" workbookViewId="0">
      <selection activeCell="A5" sqref="A5"/>
    </sheetView>
  </sheetViews>
  <sheetFormatPr baseColWidth="10" defaultRowHeight="16" x14ac:dyDescent="0.2"/>
  <cols>
    <col min="1" max="1" width="22.1640625" style="1" customWidth="1"/>
    <col min="2" max="2" width="12" style="1" customWidth="1"/>
    <col min="3" max="3" width="17.6640625" style="1" customWidth="1"/>
    <col min="4" max="4" width="17.1640625" style="1" customWidth="1"/>
    <col min="5" max="5" width="16.83203125" style="1" customWidth="1"/>
    <col min="6" max="6" width="18" style="1" customWidth="1"/>
    <col min="7" max="7" width="16.6640625" style="1" customWidth="1"/>
    <col min="8" max="8" width="15.5" style="1" customWidth="1"/>
    <col min="9" max="10" width="17.1640625" style="1" customWidth="1"/>
    <col min="11" max="11" width="25.6640625" style="1" hidden="1" customWidth="1"/>
    <col min="12" max="12" width="13.33203125" style="1" hidden="1" customWidth="1"/>
    <col min="13" max="16384" width="10.83203125" style="1"/>
  </cols>
  <sheetData>
    <row r="1" spans="1:12" ht="21" x14ac:dyDescent="0.25">
      <c r="A1" s="173" t="s">
        <v>137</v>
      </c>
      <c r="B1" s="173"/>
      <c r="C1" s="173"/>
      <c r="D1" s="173"/>
      <c r="E1" s="173"/>
      <c r="F1" s="173"/>
      <c r="G1" s="173"/>
      <c r="H1" s="173"/>
      <c r="I1" s="173"/>
    </row>
    <row r="3" spans="1:12" x14ac:dyDescent="0.2">
      <c r="B3" s="11"/>
      <c r="C3" s="11"/>
    </row>
    <row r="4" spans="1:12" ht="20" customHeight="1" x14ac:dyDescent="0.2">
      <c r="A4" s="89" t="s">
        <v>138</v>
      </c>
      <c r="B4" s="87">
        <v>80</v>
      </c>
      <c r="C4" s="175" t="s">
        <v>178</v>
      </c>
      <c r="D4" s="175"/>
      <c r="E4" s="175"/>
      <c r="L4" s="17">
        <f>Assumptions!C5*(1-Assumptions!C6)*(1+Assumptions!C20*(1-B5)*((Assumptions!D19+Assumptions!C18)/2-Assumptions!C18)/Assumptions!C18)</f>
        <v>41972695.262597583</v>
      </c>
    </row>
    <row r="5" spans="1:12" ht="40" x14ac:dyDescent="0.25">
      <c r="A5" s="89" t="s">
        <v>139</v>
      </c>
      <c r="B5" s="88">
        <v>0.7</v>
      </c>
      <c r="C5" s="175"/>
      <c r="D5" s="175"/>
      <c r="E5" s="175"/>
      <c r="F5" s="41"/>
      <c r="L5" s="17">
        <f>Assumptions!C5-L4</f>
        <v>3027304.7374024168</v>
      </c>
    </row>
    <row r="6" spans="1:12" ht="19" x14ac:dyDescent="0.25">
      <c r="B6" s="40"/>
      <c r="C6" s="40"/>
      <c r="D6" s="40"/>
      <c r="E6" s="40"/>
      <c r="F6" s="41"/>
      <c r="L6" s="17">
        <f>Assumptions!C5*B4/365</f>
        <v>9863013.6986301374</v>
      </c>
    </row>
    <row r="7" spans="1:12" ht="19" x14ac:dyDescent="0.25">
      <c r="A7" s="174" t="s">
        <v>142</v>
      </c>
      <c r="B7" s="174"/>
      <c r="C7" s="174"/>
      <c r="D7" s="174"/>
      <c r="E7" s="174"/>
      <c r="F7" s="174"/>
      <c r="G7" s="174"/>
      <c r="H7" s="174"/>
      <c r="I7" s="174"/>
      <c r="L7" s="17">
        <f>L6+(L4*Assumptions!C25/365)-(L4*Assumptions!C28/365)</f>
        <v>13887792.696413469</v>
      </c>
    </row>
    <row r="8" spans="1:12" ht="19" x14ac:dyDescent="0.25">
      <c r="A8" s="85"/>
      <c r="B8" s="86"/>
      <c r="C8" s="171" t="s">
        <v>140</v>
      </c>
      <c r="D8" s="171"/>
      <c r="E8" s="171"/>
      <c r="F8" s="171"/>
      <c r="G8" s="171"/>
      <c r="H8" s="171"/>
      <c r="I8" s="171"/>
      <c r="L8" s="17">
        <f>MAX(0,L7-((Assumptions!C5*Assumptions!C26/365)+(L4*Assumptions!C25/365)-(L4*Assumptions!C28/365)))</f>
        <v>4315068.493150685</v>
      </c>
    </row>
    <row r="9" spans="1:12" ht="20" customHeight="1" x14ac:dyDescent="0.25">
      <c r="A9" s="85"/>
      <c r="B9" s="92">
        <f>L10</f>
        <v>-877808.96122772014</v>
      </c>
      <c r="C9" s="84">
        <v>0.4</v>
      </c>
      <c r="D9" s="84">
        <f>C9+10%</f>
        <v>0.5</v>
      </c>
      <c r="E9" s="84">
        <f t="shared" ref="E9:I9" si="0">D9+10%</f>
        <v>0.6</v>
      </c>
      <c r="F9" s="84">
        <f t="shared" si="0"/>
        <v>0.7</v>
      </c>
      <c r="G9" s="84">
        <f t="shared" si="0"/>
        <v>0.79999999999999993</v>
      </c>
      <c r="H9" s="84">
        <f t="shared" si="0"/>
        <v>0.89999999999999991</v>
      </c>
      <c r="I9" s="84">
        <f t="shared" si="0"/>
        <v>0.99999999999999989</v>
      </c>
      <c r="L9" s="17">
        <f>L8*Assumptions!C32</f>
        <v>453513.69863013696</v>
      </c>
    </row>
    <row r="10" spans="1:12" ht="20" customHeight="1" x14ac:dyDescent="0.25">
      <c r="A10" s="172" t="s">
        <v>90</v>
      </c>
      <c r="B10" s="46">
        <v>45</v>
      </c>
      <c r="C10" s="45">
        <f t="dataTable" ref="C10:I21" dt2D="1" dtr="1" r1="B5" r2="B4"/>
        <v>-2571990.5251951739</v>
      </c>
      <c r="D10" s="45">
        <v>-1856092.1043293104</v>
      </c>
      <c r="E10" s="45">
        <v>-1140193.6834634468</v>
      </c>
      <c r="F10" s="45">
        <v>-424295.26259758323</v>
      </c>
      <c r="G10" s="45">
        <v>291603.15826827288</v>
      </c>
      <c r="H10" s="45">
        <v>1007501.5791341364</v>
      </c>
      <c r="I10" s="45">
        <v>1723400</v>
      </c>
      <c r="K10" s="90" t="s">
        <v>141</v>
      </c>
      <c r="L10" s="91">
        <f>L5-(Assumptions!C9+Assumptions!C10+Assumptions!C11+Assumptions!C12+Assumptions!C13+Assumptions!C14+Assumptions!C15+Assumptions!C34*(Assumptions!C9+Assumptions!C10+Assumptions!C11))-L9</f>
        <v>-877808.96122772014</v>
      </c>
    </row>
    <row r="11" spans="1:12" ht="20" customHeight="1" x14ac:dyDescent="0.25">
      <c r="A11" s="172"/>
      <c r="B11" s="46">
        <f>B10+5</f>
        <v>50</v>
      </c>
      <c r="C11" s="45">
        <v>-2636778.1964280508</v>
      </c>
      <c r="D11" s="45">
        <v>-1920879.7755621872</v>
      </c>
      <c r="E11" s="45">
        <v>-1204981.3546963234</v>
      </c>
      <c r="F11" s="45">
        <v>-489082.93383045966</v>
      </c>
      <c r="G11" s="45">
        <v>226815.48703539604</v>
      </c>
      <c r="H11" s="45">
        <v>942713.9079012596</v>
      </c>
      <c r="I11" s="45">
        <v>1658612.3287671236</v>
      </c>
    </row>
    <row r="12" spans="1:12" ht="20" customHeight="1" x14ac:dyDescent="0.25">
      <c r="A12" s="172"/>
      <c r="B12" s="46">
        <f t="shared" ref="B12:B21" si="1">B11+5</f>
        <v>55</v>
      </c>
      <c r="C12" s="45">
        <v>-2701565.8676609276</v>
      </c>
      <c r="D12" s="45">
        <v>-1985667.4467950638</v>
      </c>
      <c r="E12" s="45">
        <v>-1269769.0259292002</v>
      </c>
      <c r="F12" s="45">
        <v>-553870.60506333644</v>
      </c>
      <c r="G12" s="45">
        <v>162027.81580251921</v>
      </c>
      <c r="H12" s="45">
        <v>877926.23666838324</v>
      </c>
      <c r="I12" s="45">
        <v>1593824.6575342468</v>
      </c>
    </row>
    <row r="13" spans="1:12" ht="20" customHeight="1" x14ac:dyDescent="0.25">
      <c r="A13" s="172"/>
      <c r="B13" s="46">
        <f t="shared" si="1"/>
        <v>60</v>
      </c>
      <c r="C13" s="45">
        <v>-2766353.538893804</v>
      </c>
      <c r="D13" s="45">
        <v>-2050455.1180279404</v>
      </c>
      <c r="E13" s="45">
        <v>-1334556.6971620768</v>
      </c>
      <c r="F13" s="45">
        <v>-618658.27629621327</v>
      </c>
      <c r="G13" s="45">
        <v>97240.144569642784</v>
      </c>
      <c r="H13" s="45">
        <v>813138.5654355064</v>
      </c>
      <c r="I13" s="45">
        <v>1529036.98630137</v>
      </c>
    </row>
    <row r="14" spans="1:12" ht="20" customHeight="1" x14ac:dyDescent="0.25">
      <c r="A14" s="172"/>
      <c r="B14" s="46">
        <f t="shared" si="1"/>
        <v>65</v>
      </c>
      <c r="C14" s="45">
        <v>-2831141.2101266808</v>
      </c>
      <c r="D14" s="45">
        <v>-2115242.7892608172</v>
      </c>
      <c r="E14" s="45">
        <v>-1399344.3683949534</v>
      </c>
      <c r="F14" s="45">
        <v>-683445.94752908999</v>
      </c>
      <c r="G14" s="45">
        <v>32452.473336765979</v>
      </c>
      <c r="H14" s="45">
        <v>748350.89420262957</v>
      </c>
      <c r="I14" s="45">
        <v>1464249.3150684936</v>
      </c>
    </row>
    <row r="15" spans="1:12" ht="20" customHeight="1" x14ac:dyDescent="0.25">
      <c r="A15" s="172"/>
      <c r="B15" s="46">
        <f t="shared" si="1"/>
        <v>70</v>
      </c>
      <c r="C15" s="45">
        <v>-2895928.8813595576</v>
      </c>
      <c r="D15" s="45">
        <v>-2180030.4604936941</v>
      </c>
      <c r="E15" s="45">
        <v>-1464132.0396278303</v>
      </c>
      <c r="F15" s="45">
        <v>-748233.61876196659</v>
      </c>
      <c r="G15" s="45">
        <v>-32335.197896110825</v>
      </c>
      <c r="H15" s="45">
        <v>683563.22296975274</v>
      </c>
      <c r="I15" s="45">
        <v>1399461.6438356168</v>
      </c>
    </row>
    <row r="16" spans="1:12" ht="20" customHeight="1" x14ac:dyDescent="0.25">
      <c r="A16" s="172"/>
      <c r="B16" s="46">
        <f t="shared" si="1"/>
        <v>75</v>
      </c>
      <c r="C16" s="45">
        <v>-2960716.552592434</v>
      </c>
      <c r="D16" s="45">
        <v>-2244818.1317265704</v>
      </c>
      <c r="E16" s="45">
        <v>-1528919.7108607069</v>
      </c>
      <c r="F16" s="45">
        <v>-813021.28999484342</v>
      </c>
      <c r="G16" s="45">
        <v>-97122.86912898731</v>
      </c>
      <c r="H16" s="45">
        <v>618775.55173687625</v>
      </c>
      <c r="I16" s="45">
        <v>1334673.9726027399</v>
      </c>
    </row>
    <row r="17" spans="1:9" ht="20" customHeight="1" x14ac:dyDescent="0.25">
      <c r="A17" s="172"/>
      <c r="B17" s="46">
        <f t="shared" si="1"/>
        <v>80</v>
      </c>
      <c r="C17" s="45">
        <v>-3025504.2238253108</v>
      </c>
      <c r="D17" s="45">
        <v>-2309605.8029594473</v>
      </c>
      <c r="E17" s="45">
        <v>-1593707.3820935839</v>
      </c>
      <c r="F17" s="45">
        <v>-877808.96122772014</v>
      </c>
      <c r="G17" s="45">
        <v>-161910.54036186408</v>
      </c>
      <c r="H17" s="45">
        <v>553987.88050399953</v>
      </c>
      <c r="I17" s="45">
        <v>1269886.3013698633</v>
      </c>
    </row>
    <row r="18" spans="1:9" ht="20" customHeight="1" x14ac:dyDescent="0.25">
      <c r="A18" s="172"/>
      <c r="B18" s="46">
        <f t="shared" si="1"/>
        <v>85</v>
      </c>
      <c r="C18" s="45">
        <v>-3090291.8950581877</v>
      </c>
      <c r="D18" s="45">
        <v>-2374393.4741923241</v>
      </c>
      <c r="E18" s="45">
        <v>-1658495.0533264605</v>
      </c>
      <c r="F18" s="45">
        <v>-942596.63246059674</v>
      </c>
      <c r="G18" s="45">
        <v>-226698.21159474092</v>
      </c>
      <c r="H18" s="45">
        <v>489200.20927112264</v>
      </c>
      <c r="I18" s="45">
        <v>1205098.6301369865</v>
      </c>
    </row>
    <row r="19" spans="1:9" ht="20" customHeight="1" x14ac:dyDescent="0.25">
      <c r="A19" s="172"/>
      <c r="B19" s="46">
        <f t="shared" si="1"/>
        <v>90</v>
      </c>
      <c r="C19" s="45">
        <v>-3155079.5662910645</v>
      </c>
      <c r="D19" s="45">
        <v>-2439181.1454252009</v>
      </c>
      <c r="E19" s="45">
        <v>-1723282.7245593374</v>
      </c>
      <c r="F19" s="45">
        <v>-1007384.3036934735</v>
      </c>
      <c r="G19" s="45">
        <v>-291485.88282761781</v>
      </c>
      <c r="H19" s="45">
        <v>424412.53803824575</v>
      </c>
      <c r="I19" s="45">
        <v>1140310.9589041099</v>
      </c>
    </row>
    <row r="20" spans="1:9" ht="20" customHeight="1" x14ac:dyDescent="0.25">
      <c r="A20" s="172"/>
      <c r="B20" s="46">
        <f t="shared" si="1"/>
        <v>95</v>
      </c>
      <c r="C20" s="45">
        <v>-3219867.2375239409</v>
      </c>
      <c r="D20" s="45">
        <v>-2503968.8166580773</v>
      </c>
      <c r="E20" s="45">
        <v>-1788070.3957922142</v>
      </c>
      <c r="F20" s="45">
        <v>-1072171.9749263502</v>
      </c>
      <c r="G20" s="45">
        <v>-356273.55406049418</v>
      </c>
      <c r="H20" s="45">
        <v>359624.86680536938</v>
      </c>
      <c r="I20" s="45">
        <v>1075523.2876712333</v>
      </c>
    </row>
    <row r="21" spans="1:9" ht="20" customHeight="1" x14ac:dyDescent="0.25">
      <c r="A21" s="172"/>
      <c r="B21" s="46">
        <f t="shared" si="1"/>
        <v>100</v>
      </c>
      <c r="C21" s="45">
        <v>-3284654.9087568177</v>
      </c>
      <c r="D21" s="45">
        <v>-2568756.4878909541</v>
      </c>
      <c r="E21" s="45">
        <v>-1852858.0670250906</v>
      </c>
      <c r="F21" s="45">
        <v>-1136959.6461592268</v>
      </c>
      <c r="G21" s="45">
        <v>-421061.22529337101</v>
      </c>
      <c r="H21" s="45">
        <v>294837.19557249255</v>
      </c>
      <c r="I21" s="45">
        <v>1010735.6164383565</v>
      </c>
    </row>
  </sheetData>
  <mergeCells count="5">
    <mergeCell ref="C8:I8"/>
    <mergeCell ref="A10:A21"/>
    <mergeCell ref="A1:I1"/>
    <mergeCell ref="A7:I7"/>
    <mergeCell ref="C4:E5"/>
  </mergeCells>
  <conditionalFormatting sqref="C10:I21">
    <cfRule type="cellIs" dxfId="3" priority="1" operator="between">
      <formula>0</formula>
      <formula>500000</formula>
    </cfRule>
    <cfRule type="cellIs" dxfId="2" priority="2" operator="between">
      <formula>-500000</formula>
      <formula>0</formula>
    </cfRule>
    <cfRule type="cellIs" dxfId="1" priority="3" operator="lessThan">
      <formula>-500000</formula>
    </cfRule>
    <cfRule type="cellIs" dxfId="0" priority="4" operator="greaterThan">
      <formula>500000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CCC_Model</vt:lpstr>
      <vt:lpstr>Scenarios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Tran (24749828)</dc:creator>
  <cp:lastModifiedBy>Shin Tran (24749828)</cp:lastModifiedBy>
  <dcterms:created xsi:type="dcterms:W3CDTF">2026-05-28T05:34:14Z</dcterms:created>
  <dcterms:modified xsi:type="dcterms:W3CDTF">2026-06-17T07:31:06Z</dcterms:modified>
</cp:coreProperties>
</file>